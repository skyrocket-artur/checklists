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тарт" sheetId="1" state="visible" r:id="rId3"/>
    <sheet name="Бюджет" sheetId="2" state="visible" r:id="rId4"/>
    <sheet name="Подушка" sheetId="3" state="visible" r:id="rId5"/>
    <sheet name="Портфель" sheetId="4" state="visible" r:id="rId6"/>
    <sheet name="Позиция" sheetId="5" state="visible" r:id="rId7"/>
    <sheet name="Правила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1" authorId="0">
      <text>
        <r>
          <rPr>
            <sz val="10"/>
            <rFont val="Arial"/>
            <family val="2"/>
          </rPr>
          <t xml:space="preserve">Ориентир для примера. Поставьте свою цель.</t>
        </r>
      </text>
    </comment>
  </commentList>
</comments>
</file>

<file path=xl/sharedStrings.xml><?xml version="1.0" encoding="utf-8"?>
<sst xmlns="http://schemas.openxmlformats.org/spreadsheetml/2006/main" count="211" uniqueCount="199">
  <si>
    <t xml:space="preserve">Финансовый пульт</t>
  </si>
  <si>
    <t xml:space="preserve">Бюджет, подушка, портфель и размер позиции в одном файле. Подарок зрителям эфира Skyrocket</t>
  </si>
  <si>
    <t xml:space="preserve">Старт</t>
  </si>
  <si>
    <t xml:space="preserve">Бюджет</t>
  </si>
  <si>
    <t xml:space="preserve">Подушка</t>
  </si>
  <si>
    <t xml:space="preserve">Портфель</t>
  </si>
  <si>
    <t xml:space="preserve">Размер позиции</t>
  </si>
  <si>
    <t xml:space="preserve">Правила</t>
  </si>
  <si>
    <t xml:space="preserve">С ЧЕГО НАЧАТЬ</t>
  </si>
  <si>
    <t xml:space="preserve">01   Бюджет</t>
  </si>
  <si>
    <t xml:space="preserve">Запишите доходы и расходы за месяц. Таблица посчитает, сколько вы откладываете, и покажет, куда уходят деньги.</t>
  </si>
  <si>
    <t xml:space="preserve">02   Подушка</t>
  </si>
  <si>
    <t xml:space="preserve">Посчитайте свою подушку безопасности и через сколько месяцев вы её соберёте.</t>
  </si>
  <si>
    <t xml:space="preserve">03   Портфель</t>
  </si>
  <si>
    <t xml:space="preserve">Внесите бумаги, которые у вас есть. Таблица подсветит, где доля одной акции слишком большая.</t>
  </si>
  <si>
    <t xml:space="preserve">04   Размер позиции</t>
  </si>
  <si>
    <t xml:space="preserve">Перед каждой сделкой: сколько купить и как разбить покупку лесенкой. Для спекуляции: сколько бумаг брать при вашем риске.</t>
  </si>
  <si>
    <t xml:space="preserve">05   Правила</t>
  </si>
  <si>
    <t xml:space="preserve">12 правил из обучения Skyrocket, по которым я сам веду портфель и сделки.</t>
  </si>
  <si>
    <t xml:space="preserve">ОБОЗНАЧЕНИЯ</t>
  </si>
  <si>
    <t xml:space="preserve">Жёлтая ячейка</t>
  </si>
  <si>
    <t xml:space="preserve">Сюда вводите свои цифры. Сейчас там примеры, замените их своими.</t>
  </si>
  <si>
    <t xml:space="preserve">Белая ячейка</t>
  </si>
  <si>
    <t xml:space="preserve">Считается сама, трогать не нужно.</t>
  </si>
  <si>
    <t xml:space="preserve">Таблица обучающая и показывает мой личный подход. Это не индивидуальная инвестиционная рекомендация: решения о сделках вы принимаете сами.</t>
  </si>
  <si>
    <t xml:space="preserve">Артур Юнусов  ·  t.me/YunusovArtur</t>
  </si>
  <si>
    <t xml:space="preserve">Бюджет месяца</t>
  </si>
  <si>
    <t xml:space="preserve">Куда уходят деньги и сколько вы откладываете</t>
  </si>
  <si>
    <t xml:space="preserve">←  Оглавление</t>
  </si>
  <si>
    <t xml:space="preserve">ДОХОДЫ</t>
  </si>
  <si>
    <t xml:space="preserve">РАСХОДЫ</t>
  </si>
  <si>
    <t xml:space="preserve">ОТЛОЖЕНО</t>
  </si>
  <si>
    <t xml:space="preserve">НОРМА СБЕРЕЖЕНИЙ</t>
  </si>
  <si>
    <t xml:space="preserve">Месяц</t>
  </si>
  <si>
    <t xml:space="preserve">Октябрь 2026</t>
  </si>
  <si>
    <t xml:space="preserve">Цель: откладывать от дохода</t>
  </si>
  <si>
    <t xml:space="preserve">Источник</t>
  </si>
  <si>
    <t xml:space="preserve">Сумма</t>
  </si>
  <si>
    <t xml:space="preserve">Зарплата</t>
  </si>
  <si>
    <t xml:space="preserve">Подработка</t>
  </si>
  <si>
    <t xml:space="preserve">Другое</t>
  </si>
  <si>
    <t xml:space="preserve">Итого доходы</t>
  </si>
  <si>
    <t xml:space="preserve">Категория</t>
  </si>
  <si>
    <t xml:space="preserve">План</t>
  </si>
  <si>
    <t xml:space="preserve">Факт</t>
  </si>
  <si>
    <t xml:space="preserve">Разница</t>
  </si>
  <si>
    <t xml:space="preserve">Доля</t>
  </si>
  <si>
    <t xml:space="preserve">Жильё: аренда или ипотека</t>
  </si>
  <si>
    <t xml:space="preserve">Коммуналка и связь</t>
  </si>
  <si>
    <t xml:space="preserve">Продукты</t>
  </si>
  <si>
    <t xml:space="preserve">Кафе и доставка</t>
  </si>
  <si>
    <t xml:space="preserve">Транспорт</t>
  </si>
  <si>
    <t xml:space="preserve">Кредиты</t>
  </si>
  <si>
    <t xml:space="preserve">Здоровье</t>
  </si>
  <si>
    <t xml:space="preserve">Одежда</t>
  </si>
  <si>
    <t xml:space="preserve">Дети и семья</t>
  </si>
  <si>
    <t xml:space="preserve">Подписки</t>
  </si>
  <si>
    <t xml:space="preserve">Развлечения</t>
  </si>
  <si>
    <t xml:space="preserve">Прочее</t>
  </si>
  <si>
    <t xml:space="preserve">Итого расходы</t>
  </si>
  <si>
    <t xml:space="preserve">ИТОГ МЕСЯЦА</t>
  </si>
  <si>
    <t xml:space="preserve">Отложено</t>
  </si>
  <si>
    <t xml:space="preserve">Норма сбережений</t>
  </si>
  <si>
    <t xml:space="preserve">Подушка безопасности</t>
  </si>
  <si>
    <t xml:space="preserve">Сколько нужно отложить на чёрный день и когда вы это соберёте</t>
  </si>
  <si>
    <t xml:space="preserve">ЦЕЛЬ ПОДУШКИ</t>
  </si>
  <si>
    <t xml:space="preserve">УЖЕ НАКОПЛЕНО</t>
  </si>
  <si>
    <t xml:space="preserve">ГОТОВНОСТЬ</t>
  </si>
  <si>
    <t xml:space="preserve">РАСЧЁТ</t>
  </si>
  <si>
    <t xml:space="preserve">Обязательные расходы в месяц</t>
  </si>
  <si>
    <t xml:space="preserve">Берётся из «Бюджета»: жильё, коммуналка, продукты, транспорт, кредиты, здоровье. Можно вписать своё число.</t>
  </si>
  <si>
    <t xml:space="preserve">Сколько месяцев запаса</t>
  </si>
  <si>
    <t xml:space="preserve">Я держу запас на 3 месяца: этого хватает, чтобы спокойно найти новый доход.</t>
  </si>
  <si>
    <t xml:space="preserve">Цель подушки</t>
  </si>
  <si>
    <t xml:space="preserve">Уже накоплено</t>
  </si>
  <si>
    <t xml:space="preserve">Осталось собрать</t>
  </si>
  <si>
    <t xml:space="preserve">Подушка покрывает месяцев</t>
  </si>
  <si>
    <t xml:space="preserve">Готовность</t>
  </si>
  <si>
    <t xml:space="preserve">Откладываю в подушку в месяц</t>
  </si>
  <si>
    <t xml:space="preserve">По умолчанию берётся «Отложено» из бюджета. Можно вписать свою сумму.</t>
  </si>
  <si>
    <t xml:space="preserve">Месяцев до цели</t>
  </si>
  <si>
    <t xml:space="preserve">ГДЕ ДЕРЖАТЬ ПОДУШКУ: МОЙ ПОДХОД</t>
  </si>
  <si>
    <t xml:space="preserve">●   Наличными: доступ нужен в течение дня, без звонков в банк.</t>
  </si>
  <si>
    <t xml:space="preserve">●   Часть в долларах: страховка от скачков курса.</t>
  </si>
  <si>
    <t xml:space="preserve">●   Не на вкладе и не на брокерском счёте: их могут заморозить или задержать вывод.</t>
  </si>
  <si>
    <t xml:space="preserve">●   Подушка помогает поймать хорошую сделку, когда рынок падает.</t>
  </si>
  <si>
    <t xml:space="preserve">Мой портфель</t>
  </si>
  <si>
    <t xml:space="preserve">Доля каждой бумаги и результат. Цены в примере условные</t>
  </si>
  <si>
    <t xml:space="preserve">СТОИМОСТЬ ПОРТФЕЛЯ</t>
  </si>
  <si>
    <t xml:space="preserve">РЕЗУЛЬТАТ</t>
  </si>
  <si>
    <t xml:space="preserve">ДОХОДНОСТЬ</t>
  </si>
  <si>
    <t xml:space="preserve">АКЦИЙ ВЫШЕ 10%</t>
  </si>
  <si>
    <t xml:space="preserve">БУМАГИ</t>
  </si>
  <si>
    <t xml:space="preserve">Тикер</t>
  </si>
  <si>
    <t xml:space="preserve">Тип</t>
  </si>
  <si>
    <t xml:space="preserve">Кол-во</t>
  </si>
  <si>
    <t xml:space="preserve">Средняя цена</t>
  </si>
  <si>
    <t xml:space="preserve">Текущая цена</t>
  </si>
  <si>
    <t xml:space="preserve">Стоимость</t>
  </si>
  <si>
    <t xml:space="preserve">Результат</t>
  </si>
  <si>
    <t xml:space="preserve">Рез-т, %</t>
  </si>
  <si>
    <t xml:space="preserve">Сигнал</t>
  </si>
  <si>
    <t xml:space="preserve">SBER</t>
  </si>
  <si>
    <t xml:space="preserve">Акция</t>
  </si>
  <si>
    <t xml:space="preserve">LKOH</t>
  </si>
  <si>
    <t xml:space="preserve">OFZ 26238</t>
  </si>
  <si>
    <t xml:space="preserve">Облигация</t>
  </si>
  <si>
    <t xml:space="preserve">TMOS</t>
  </si>
  <si>
    <t xml:space="preserve">Фонд</t>
  </si>
  <si>
    <t xml:space="preserve">Кэш</t>
  </si>
  <si>
    <t xml:space="preserve">Деньги</t>
  </si>
  <si>
    <t xml:space="preserve">Итого</t>
  </si>
  <si>
    <t xml:space="preserve">Мой ориентир: не больше 10% портфеля в одной акции, максимум 20%. На старте с маленьким портфелем допустимо 30–40%, потом распределяйте деньги по бумагам, секторам и отраслям. Фонды и облигации таблица не подсвечивает.</t>
  </si>
  <si>
    <t xml:space="preserve">Диаграмма показывает первые 5 строк. Добавили больше бумаг: растяните её диапазон до 26-й строки.</t>
  </si>
  <si>
    <t xml:space="preserve">Сколько покупать: инвестиция лесенкой и спекуляция по риску</t>
  </si>
  <si>
    <t xml:space="preserve">ЛЕСЕНКА: СРЕДНЯЯ ЦЕНА</t>
  </si>
  <si>
    <t xml:space="preserve">СПЕКУЛЯЦИЯ: БУМАГ</t>
  </si>
  <si>
    <t xml:space="preserve">РИСК В ДЕНЬГАХ</t>
  </si>
  <si>
    <t xml:space="preserve">А. ИНВЕСТИЦИЯ: ЛЕСЕНКА</t>
  </si>
  <si>
    <t xml:space="preserve">Размер портфеля</t>
  </si>
  <si>
    <t xml:space="preserve">Берётся из листа «Портфель». Можно вписать вручную.</t>
  </si>
  <si>
    <t xml:space="preserve">Доля на эту бумагу</t>
  </si>
  <si>
    <t xml:space="preserve">Мой ориентир: до 10% на одну акцию.</t>
  </si>
  <si>
    <t xml:space="preserve">Сумма на бумагу</t>
  </si>
  <si>
    <t xml:space="preserve">Цена первой покупки</t>
  </si>
  <si>
    <t xml:space="preserve">Шаг снижения для докупки</t>
  </si>
  <si>
    <t xml:space="preserve">Для примера. Уровни для докупки я даю в постах и на эфирах: ориентируйтесь на них.</t>
  </si>
  <si>
    <t xml:space="preserve">Лот, бумаг</t>
  </si>
  <si>
    <t xml:space="preserve">Сколько бумаг в одном лоте. Смотрите в приложении брокера.</t>
  </si>
  <si>
    <t xml:space="preserve">Частей в лесенке</t>
  </si>
  <si>
    <t xml:space="preserve">Покупка</t>
  </si>
  <si>
    <t xml:space="preserve">Цена</t>
  </si>
  <si>
    <t xml:space="preserve">Бюджет части</t>
  </si>
  <si>
    <t xml:space="preserve">Бумаг (кратно лоту)</t>
  </si>
  <si>
    <t xml:space="preserve">Потрачено</t>
  </si>
  <si>
    <t xml:space="preserve">1. Сразу после поста</t>
  </si>
  <si>
    <t xml:space="preserve">2. Цена снизилась</t>
  </si>
  <si>
    <t xml:space="preserve">3. Цена снизилась ещё</t>
  </si>
  <si>
    <t xml:space="preserve">Средняя цена после всех покупок</t>
  </si>
  <si>
    <t xml:space="preserve">Ниже первой покупки на</t>
  </si>
  <si>
    <t xml:space="preserve">Б. СПЕКУЛЯЦИЯ: РАЗМЕР ПО РИСКУ</t>
  </si>
  <si>
    <t xml:space="preserve">Направление</t>
  </si>
  <si>
    <t xml:space="preserve">Лонг</t>
  </si>
  <si>
    <t xml:space="preserve">Торговый депозит</t>
  </si>
  <si>
    <t xml:space="preserve">Риск на сделку</t>
  </si>
  <si>
    <t xml:space="preserve">Я рискую 2–3% торгового депозита и стараюсь не выходить за 3–4%.</t>
  </si>
  <si>
    <t xml:space="preserve">Цена входа</t>
  </si>
  <si>
    <t xml:space="preserve">Стоп</t>
  </si>
  <si>
    <t xml:space="preserve">Стоп ставлю за локальный минимум (в шорте за максимум) с запасом на проскальзывание.</t>
  </si>
  <si>
    <t xml:space="preserve">Цель: прибыль к риску (R)</t>
  </si>
  <si>
    <t xml:space="preserve">R = 2 значит: цель вдвое дальше от входа, чем стоп.</t>
  </si>
  <si>
    <t xml:space="preserve">Риск в деньгах</t>
  </si>
  <si>
    <t xml:space="preserve">Расстояние до стопа</t>
  </si>
  <si>
    <t xml:space="preserve">Расстояние до стопа, %</t>
  </si>
  <si>
    <t xml:space="preserve">Сколько бумаг взять</t>
  </si>
  <si>
    <t xml:space="preserve">Объём позиции</t>
  </si>
  <si>
    <t xml:space="preserve">Нужное плечо</t>
  </si>
  <si>
    <t xml:space="preserve">Плечо больше 1x: сделка с плечом. Держите её только на отдельном торговом счёте.</t>
  </si>
  <si>
    <t xml:space="preserve">Тейк по цели R</t>
  </si>
  <si>
    <t xml:space="preserve">Проверка риска</t>
  </si>
  <si>
    <t xml:space="preserve">12 правил Skyrocket</t>
  </si>
  <si>
    <t xml:space="preserve">По ним я веду свой портфель и сделки</t>
  </si>
  <si>
    <t xml:space="preserve">01</t>
  </si>
  <si>
    <t xml:space="preserve">Подушка до первой покупки</t>
  </si>
  <si>
    <t xml:space="preserve">Расходы на 3 месяца наличными. Пока её нет, на биржу не идём.</t>
  </si>
  <si>
    <t xml:space="preserve">02</t>
  </si>
  <si>
    <t xml:space="preserve">Инвестиции и трейдинг на разных счетах</t>
  </si>
  <si>
    <t xml:space="preserve">Долгосрочный портфель отдельно, спекуляции отдельно. Так вы не превратите убыточную сделку в «долгосрок».</t>
  </si>
  <si>
    <t xml:space="preserve">03</t>
  </si>
  <si>
    <t xml:space="preserve">Не больше 10% в одну акцию</t>
  </si>
  <si>
    <t xml:space="preserve">Максимум 20%. Одна неудачная компания не утопит весь портфель.</t>
  </si>
  <si>
    <t xml:space="preserve">04</t>
  </si>
  <si>
    <t xml:space="preserve">Покупайте лесенкой</t>
  </si>
  <si>
    <t xml:space="preserve">Делите сумму на 3–4 части. Средняя цена выходит ниже, а просадка не пугает.</t>
  </si>
  <si>
    <t xml:space="preserve">05</t>
  </si>
  <si>
    <t xml:space="preserve">В инвестициях стоп не ставлю</t>
  </si>
  <si>
    <t xml:space="preserve">Выхожу вручную, если идея перестала работать или поменялись настроения на рынке.</t>
  </si>
  <si>
    <t xml:space="preserve">06</t>
  </si>
  <si>
    <t xml:space="preserve">Просадка хорошей компании: повод докупить</t>
  </si>
  <si>
    <t xml:space="preserve">Если идея жива, падение цены даёт лучшую цену для следующей части лесенки.</t>
  </si>
  <si>
    <t xml:space="preserve">07</t>
  </si>
  <si>
    <t xml:space="preserve">В спекуляции риск 2–3% депозита</t>
  </si>
  <si>
    <t xml:space="preserve">Сначала считаем, сколько готовы потерять, потом объём. Не больше 3–4%.</t>
  </si>
  <si>
    <t xml:space="preserve">08</t>
  </si>
  <si>
    <t xml:space="preserve">Стоп ставится сразу</t>
  </si>
  <si>
    <t xml:space="preserve">За локальный минимум (в шорте за максимум) с запасом на проскальзывание.</t>
  </si>
  <si>
    <t xml:space="preserve">09</t>
  </si>
  <si>
    <t xml:space="preserve">Первый тейк автоматом</t>
  </si>
  <si>
    <t xml:space="preserve">После него переношу стоп в безубыток, остаток веду дальше.</t>
  </si>
  <si>
    <t xml:space="preserve">10</t>
  </si>
  <si>
    <t xml:space="preserve">Не раздвигайте стоп</t>
  </si>
  <si>
    <t xml:space="preserve">«Хорошая отчётность» не повод рисковать больше. Так чаще всего и теряют деньги.</t>
  </si>
  <si>
    <t xml:space="preserve">11</t>
  </si>
  <si>
    <t xml:space="preserve">Плечо только на отдельном счёте</t>
  </si>
  <si>
    <t xml:space="preserve">Плечо умножает и прибыль, и убыток. Первые сделки без плеча и маленьким объёмом.</t>
  </si>
  <si>
    <t xml:space="preserve">12</t>
  </si>
  <si>
    <t xml:space="preserve">Не повторяйте сделку вслепую</t>
  </si>
  <si>
    <t xml:space="preserve">Сначала поймите, почему я вошёл и подходит ли это вам. Не понимаете идею: пропустите.</t>
  </si>
  <si>
    <t xml:space="preserve">Полная версия правил, разборы сделок и уроки лежат в закрытом канале Skyrocket. Не является индивидуальной инвестиционной рекомендацией.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</si>
</sst>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&quot; ₽&quot;;\-#,##0&quot; ₽&quot;;\–"/>
    <numFmt numFmtId="166" formatCode="0.0%;\-0.0%;\–"/>
    <numFmt numFmtId="167" formatCode="0%;\-0%;\–"/>
    <numFmt numFmtId="168" formatCode="#,##0"/>
    <numFmt numFmtId="169" formatCode="0"/>
    <numFmt numFmtId="170" formatCode="0.0"/>
    <numFmt numFmtId="171" formatCode="#,##0;\-#,##0;\–"/>
    <numFmt numFmtId="172" formatCode="#,##0.00&quot; ₽&quot;;\-#,##0.00&quot; ₽&quot;;\–"/>
    <numFmt numFmtId="173" formatCode="0.0\x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1C1C1E"/>
      <name val="Arial"/>
      <family val="0"/>
      <charset val="1"/>
    </font>
    <font>
      <sz val="11"/>
      <color rgb="FF8A90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C1C1E"/>
      <name val="Arial"/>
      <family val="0"/>
      <charset val="1"/>
    </font>
    <font>
      <b val="true"/>
      <sz val="9"/>
      <color rgb="FF8A9099"/>
      <name val="Arial"/>
      <family val="0"/>
      <charset val="1"/>
    </font>
    <font>
      <b val="true"/>
      <sz val="12"/>
      <color rgb="FF1C1C1E"/>
      <name val="Arial"/>
      <family val="0"/>
      <charset val="1"/>
    </font>
    <font>
      <sz val="11"/>
      <color rgb="FF4B5057"/>
      <name val="Arial"/>
      <family val="0"/>
      <charset val="1"/>
    </font>
    <font>
      <sz val="11"/>
      <color rgb="FF1C1C1E"/>
      <name val="Arial"/>
      <family val="0"/>
      <charset val="1"/>
    </font>
    <font>
      <sz val="10"/>
      <color rgb="FF8A9099"/>
      <name val="Arial"/>
      <family val="0"/>
      <charset val="1"/>
    </font>
    <font>
      <b val="true"/>
      <sz val="9"/>
      <color rgb="FF1C1C1E"/>
      <name val="Arial"/>
      <family val="0"/>
      <charset val="1"/>
    </font>
    <font>
      <b val="true"/>
      <sz val="20"/>
      <color rgb="FF1C1C1E"/>
      <name val="Arial"/>
      <family val="0"/>
      <charset val="1"/>
    </font>
    <font>
      <b val="true"/>
      <sz val="11"/>
      <color rgb="FF1C1C1E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9"/>
      <color rgb="FF8A9099"/>
      <name val="Arial"/>
      <family val="0"/>
      <charset val="1"/>
    </font>
    <font>
      <sz val="10"/>
      <color rgb="FF1C1C1E"/>
      <name val="Arial"/>
      <family val="0"/>
      <charset val="1"/>
    </font>
    <font>
      <b val="true"/>
      <sz val="11"/>
      <color rgb="FF00A33C"/>
      <name val="Arial"/>
      <family val="0"/>
      <charset val="1"/>
    </font>
    <font>
      <b val="true"/>
      <sz val="18"/>
      <color rgb="FF1C1C1E"/>
      <name val="Arial"/>
      <family val="0"/>
      <charset val="1"/>
    </font>
    <font>
      <b val="true"/>
      <sz val="13"/>
      <color rgb="FF1C1C1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DD2D"/>
        <bgColor rgb="FFFFE97A"/>
      </patternFill>
    </fill>
    <fill>
      <patternFill patternType="solid">
        <fgColor rgb="FF1C1C1E"/>
        <bgColor rgb="FF2E2F33"/>
      </patternFill>
    </fill>
    <fill>
      <patternFill patternType="solid">
        <fgColor rgb="FFF6F7F8"/>
        <bgColor rgb="FFFFFFFF"/>
      </patternFill>
    </fill>
    <fill>
      <patternFill patternType="solid">
        <fgColor rgb="FFFFF6CC"/>
        <bgColor rgb="FFFFF3B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/>
      <right/>
      <top/>
      <bottom style="thin">
        <color rgb="FFEDEE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4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14" fillId="4" borderId="0" xfId="0" applyFont="true" applyBorder="false" applyAlignment="true" applyProtection="false">
      <alignment horizontal="left" vertical="top" textRotation="0" wrapText="false" indent="1" shrinkToFit="false"/>
      <protection locked="true" hidden="false"/>
    </xf>
    <xf numFmtId="165" fontId="14" fillId="4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5" fontId="14" fillId="2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14" fillId="4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0" xfId="0" applyFont="true" applyBorder="false" applyAlignment="true" applyProtection="false">
      <alignment horizontal="right" vertical="center" textRotation="0" wrapText="true" indent="1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5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5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7" fontId="14" fillId="2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9" fontId="11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11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1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15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14" fillId="4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71" fontId="11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2" fontId="11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72" fontId="14" fillId="4" borderId="0" xfId="0" applyFont="true" applyBorder="false" applyAlignment="true" applyProtection="false">
      <alignment horizontal="left" vertical="top" textRotation="0" wrapText="false" indent="1" shrinkToFit="false"/>
      <protection locked="true" hidden="false"/>
    </xf>
    <xf numFmtId="171" fontId="14" fillId="2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9" fontId="11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2" fontId="11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11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15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2" fontId="21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21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11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15" fillId="2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3" fontId="11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E5383B"/>
      </font>
    </dxf>
    <dxf>
      <font>
        <name val="Arial"/>
        <charset val="1"/>
        <family val="0"/>
        <color rgb="FF00A33C"/>
      </font>
    </dxf>
    <dxf>
      <font>
        <name val="Arial"/>
        <charset val="1"/>
        <family val="0"/>
        <b val="1"/>
        <color rgb="FFE5383B"/>
      </font>
      <fill>
        <patternFill>
          <bgColor rgb="FFFDE3E4"/>
        </patternFill>
      </fill>
    </dxf>
    <dxf>
      <font>
        <name val="Arial"/>
        <charset val="1"/>
        <family val="0"/>
        <b val="1"/>
        <color rgb="FFB7791F"/>
      </font>
      <fill>
        <patternFill>
          <bgColor rgb="FFFFF6CC"/>
        </patternFill>
      </fill>
    </dxf>
    <dxf>
      <font>
        <name val="Arial"/>
        <charset val="1"/>
        <family val="0"/>
        <color rgb="FFE5383B"/>
      </font>
    </dxf>
    <dxf>
      <font>
        <name val="Arial"/>
        <charset val="1"/>
        <family val="0"/>
        <b val="1"/>
        <color rgb="FFB7791F"/>
      </font>
    </dxf>
    <dxf>
      <font>
        <name val="Arial"/>
        <charset val="1"/>
        <family val="0"/>
        <b val="1"/>
        <color rgb="FF00A33C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B9BEC5"/>
      <rgbColor rgb="FF878787"/>
      <rgbColor rgb="FF9999FF"/>
      <rgbColor rgb="FF993366"/>
      <rgbColor rgb="FFFFF6CC"/>
      <rgbColor rgb="FFEDEEF0"/>
      <rgbColor rgb="FF660066"/>
      <rgbColor rgb="FFFF8080"/>
      <rgbColor rgb="FF0066CC"/>
      <rgbColor rgb="FFC9C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7F8"/>
      <rgbColor rgb="FFE3E5E8"/>
      <rgbColor rgb="FFFFF3B0"/>
      <rgbColor rgb="FFD9D9D9"/>
      <rgbColor rgb="FFFDE3E4"/>
      <rgbColor rgb="FFCC99FF"/>
      <rgbColor rgb="FFFFE97A"/>
      <rgbColor rgb="FF4F81BD"/>
      <rgbColor rgb="FF33CCCC"/>
      <rgbColor rgb="FF99CC00"/>
      <rgbColor rgb="FFFFDD2D"/>
      <rgbColor rgb="FFF5A623"/>
      <rgbColor rgb="FFE5383B"/>
      <rgbColor rgb="FF6B7078"/>
      <rgbColor rgb="FF8A9099"/>
      <rgbColor rgb="FF003366"/>
      <rgbColor rgb="FF00A33C"/>
      <rgbColor rgb="FF003300"/>
      <rgbColor rgb="FF1C1C1E"/>
      <rgbColor rgb="FF993300"/>
      <rgbColor rgb="FF993366"/>
      <rgbColor rgb="FF4B5057"/>
      <rgbColor rgb="FF2E2F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Куда ушли деньги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Бюджет!D21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ffdd2d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1c1c1e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8a9099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c9cdd2"/>
              </a:solidFill>
              <a:ln w="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ffe97a"/>
              </a:solidFill>
              <a:ln w="0"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4b5057"/>
              </a:solidFill>
              <a:ln w="0">
                <a:solidFill>
                  <a:srgbClr val="ffffff"/>
                </a:solidFill>
              </a:ln>
            </c:spPr>
          </c:dPt>
          <c:dPt>
            <c:idx val="6"/>
            <c:spPr>
              <a:solidFill>
                <a:srgbClr val="f5a623"/>
              </a:solidFill>
              <a:ln w="0">
                <a:solidFill>
                  <a:srgbClr val="ffffff"/>
                </a:solidFill>
              </a:ln>
            </c:spPr>
          </c:dPt>
          <c:dPt>
            <c:idx val="7"/>
            <c:spPr>
              <a:solidFill>
                <a:srgbClr val="e3e5e8"/>
              </a:solidFill>
              <a:ln w="0">
                <a:solidFill>
                  <a:srgbClr val="ffffff"/>
                </a:solidFill>
              </a:ln>
            </c:spPr>
          </c:dPt>
          <c:dPt>
            <c:idx val="8"/>
            <c:spPr>
              <a:solidFill>
                <a:srgbClr val="fff3b0"/>
              </a:solidFill>
              <a:ln w="0">
                <a:solidFill>
                  <a:srgbClr val="ffffff"/>
                </a:solidFill>
              </a:ln>
            </c:spPr>
          </c:dPt>
          <c:dPt>
            <c:idx val="9"/>
            <c:spPr>
              <a:solidFill>
                <a:srgbClr val="6b7078"/>
              </a:solidFill>
              <a:ln w="0">
                <a:solidFill>
                  <a:srgbClr val="ffffff"/>
                </a:solidFill>
              </a:ln>
            </c:spPr>
          </c:dPt>
          <c:dPt>
            <c:idx val="10"/>
            <c:spPr>
              <a:solidFill>
                <a:srgbClr val="b9bec5"/>
              </a:solidFill>
              <a:ln w="0">
                <a:solidFill>
                  <a:srgbClr val="ffffff"/>
                </a:solidFill>
              </a:ln>
            </c:spPr>
          </c:dPt>
          <c:dPt>
            <c:idx val="11"/>
            <c:spPr>
              <a:solidFill>
                <a:srgbClr val="2e2f33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Бюджет!$B$22:$B$33</c:f>
              <c:strCache>
                <c:ptCount val="12"/>
                <c:pt idx="0">
                  <c:v>Жильё: аренда или ипотека</c:v>
                </c:pt>
                <c:pt idx="1">
                  <c:v>Коммуналка и связь</c:v>
                </c:pt>
                <c:pt idx="2">
                  <c:v>Продукты</c:v>
                </c:pt>
                <c:pt idx="3">
                  <c:v>Кафе и доставка</c:v>
                </c:pt>
                <c:pt idx="4">
                  <c:v>Транспорт</c:v>
                </c:pt>
                <c:pt idx="5">
                  <c:v>Кредиты</c:v>
                </c:pt>
                <c:pt idx="6">
                  <c:v>Здоровье</c:v>
                </c:pt>
                <c:pt idx="7">
                  <c:v>Одежда</c:v>
                </c:pt>
                <c:pt idx="8">
                  <c:v>Дети и семья</c:v>
                </c:pt>
                <c:pt idx="9">
                  <c:v>Подписки</c:v>
                </c:pt>
                <c:pt idx="10">
                  <c:v>Развлечения</c:v>
                </c:pt>
                <c:pt idx="11">
                  <c:v>Прочее</c:v>
                </c:pt>
              </c:strCache>
            </c:strRef>
          </c:cat>
          <c:val>
            <c:numRef>
              <c:f>Бюджет!$D$22:$D$33</c:f>
              <c:numCache>
                <c:formatCode>#,##0" ₽";\-#,##0" ₽";\–</c:formatCode>
                <c:ptCount val="12"/>
                <c:pt idx="0">
                  <c:v>35000</c:v>
                </c:pt>
                <c:pt idx="1">
                  <c:v>6400</c:v>
                </c:pt>
                <c:pt idx="2">
                  <c:v>24800</c:v>
                </c:pt>
                <c:pt idx="3">
                  <c:v>9200</c:v>
                </c:pt>
                <c:pt idx="4">
                  <c:v>6300</c:v>
                </c:pt>
                <c:pt idx="5">
                  <c:v>0</c:v>
                </c:pt>
                <c:pt idx="6">
                  <c:v>1500</c:v>
                </c:pt>
                <c:pt idx="7">
                  <c:v>2500</c:v>
                </c:pt>
                <c:pt idx="8">
                  <c:v>5800</c:v>
                </c:pt>
                <c:pt idx="9">
                  <c:v>1700</c:v>
                </c:pt>
                <c:pt idx="10">
                  <c:v>6900</c:v>
                </c:pt>
                <c:pt idx="11">
                  <c:v>2200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План и факт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Бюджет!C21</c:f>
              <c:strCache>
                <c:ptCount val="1"/>
                <c:pt idx="0">
                  <c:v>План</c:v>
                </c:pt>
              </c:strCache>
            </c:strRef>
          </c:tx>
          <c:spPr>
            <a:solidFill>
              <a:srgbClr val="c9cdd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Бюджет!$B$22:$B$33</c:f>
              <c:strCache>
                <c:ptCount val="12"/>
                <c:pt idx="0">
                  <c:v>Жильё: аренда или ипотека</c:v>
                </c:pt>
                <c:pt idx="1">
                  <c:v>Коммуналка и связь</c:v>
                </c:pt>
                <c:pt idx="2">
                  <c:v>Продукты</c:v>
                </c:pt>
                <c:pt idx="3">
                  <c:v>Кафе и доставка</c:v>
                </c:pt>
                <c:pt idx="4">
                  <c:v>Транспорт</c:v>
                </c:pt>
                <c:pt idx="5">
                  <c:v>Кредиты</c:v>
                </c:pt>
                <c:pt idx="6">
                  <c:v>Здоровье</c:v>
                </c:pt>
                <c:pt idx="7">
                  <c:v>Одежда</c:v>
                </c:pt>
                <c:pt idx="8">
                  <c:v>Дети и семья</c:v>
                </c:pt>
                <c:pt idx="9">
                  <c:v>Подписки</c:v>
                </c:pt>
                <c:pt idx="10">
                  <c:v>Развлечения</c:v>
                </c:pt>
                <c:pt idx="11">
                  <c:v>Прочее</c:v>
                </c:pt>
              </c:strCache>
            </c:strRef>
          </c:cat>
          <c:val>
            <c:numRef>
              <c:f>Бюджет!$C$22:$C$33</c:f>
              <c:numCache>
                <c:formatCode>#,##0" ₽";\-#,##0" ₽";\–</c:formatCode>
                <c:ptCount val="12"/>
                <c:pt idx="0">
                  <c:v>35000</c:v>
                </c:pt>
                <c:pt idx="1">
                  <c:v>6000</c:v>
                </c:pt>
                <c:pt idx="2">
                  <c:v>22000</c:v>
                </c:pt>
                <c:pt idx="3">
                  <c:v>6000</c:v>
                </c:pt>
                <c:pt idx="4">
                  <c:v>7000</c:v>
                </c:pt>
                <c:pt idx="5">
                  <c:v>0</c:v>
                </c:pt>
                <c:pt idx="6">
                  <c:v>3000</c:v>
                </c:pt>
                <c:pt idx="7">
                  <c:v>4000</c:v>
                </c:pt>
                <c:pt idx="8">
                  <c:v>5000</c:v>
                </c:pt>
                <c:pt idx="9">
                  <c:v>1500</c:v>
                </c:pt>
                <c:pt idx="10">
                  <c:v>5000</c:v>
                </c:pt>
                <c:pt idx="11">
                  <c:v>3000</c:v>
                </c:pt>
              </c:numCache>
            </c:numRef>
          </c:val>
        </c:ser>
        <c:ser>
          <c:idx val="1"/>
          <c:order val="1"/>
          <c:tx>
            <c:strRef>
              <c:f>Бюджет!D21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rgbClr val="ffdd2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Бюджет!$B$22:$B$33</c:f>
              <c:strCache>
                <c:ptCount val="12"/>
                <c:pt idx="0">
                  <c:v>Жильё: аренда или ипотека</c:v>
                </c:pt>
                <c:pt idx="1">
                  <c:v>Коммуналка и связь</c:v>
                </c:pt>
                <c:pt idx="2">
                  <c:v>Продукты</c:v>
                </c:pt>
                <c:pt idx="3">
                  <c:v>Кафе и доставка</c:v>
                </c:pt>
                <c:pt idx="4">
                  <c:v>Транспорт</c:v>
                </c:pt>
                <c:pt idx="5">
                  <c:v>Кредиты</c:v>
                </c:pt>
                <c:pt idx="6">
                  <c:v>Здоровье</c:v>
                </c:pt>
                <c:pt idx="7">
                  <c:v>Одежда</c:v>
                </c:pt>
                <c:pt idx="8">
                  <c:v>Дети и семья</c:v>
                </c:pt>
                <c:pt idx="9">
                  <c:v>Подписки</c:v>
                </c:pt>
                <c:pt idx="10">
                  <c:v>Развлечения</c:v>
                </c:pt>
                <c:pt idx="11">
                  <c:v>Прочее</c:v>
                </c:pt>
              </c:strCache>
            </c:strRef>
          </c:cat>
          <c:val>
            <c:numRef>
              <c:f>Бюджет!$D$22:$D$33</c:f>
              <c:numCache>
                <c:formatCode>#,##0" ₽";\-#,##0" ₽";\–</c:formatCode>
                <c:ptCount val="12"/>
                <c:pt idx="0">
                  <c:v>35000</c:v>
                </c:pt>
                <c:pt idx="1">
                  <c:v>6400</c:v>
                </c:pt>
                <c:pt idx="2">
                  <c:v>24800</c:v>
                </c:pt>
                <c:pt idx="3">
                  <c:v>9200</c:v>
                </c:pt>
                <c:pt idx="4">
                  <c:v>6300</c:v>
                </c:pt>
                <c:pt idx="5">
                  <c:v>0</c:v>
                </c:pt>
                <c:pt idx="6">
                  <c:v>1500</c:v>
                </c:pt>
                <c:pt idx="7">
                  <c:v>2500</c:v>
                </c:pt>
                <c:pt idx="8">
                  <c:v>5800</c:v>
                </c:pt>
                <c:pt idx="9">
                  <c:v>1700</c:v>
                </c:pt>
                <c:pt idx="10">
                  <c:v>6900</c:v>
                </c:pt>
                <c:pt idx="11">
                  <c:v>2200</c:v>
                </c:pt>
              </c:numCache>
            </c:numRef>
          </c:val>
        </c:ser>
        <c:gapWidth val="60"/>
        <c:overlap val="0"/>
        <c:axId val="71614016"/>
        <c:axId val="16269450"/>
      </c:barChart>
      <c:catAx>
        <c:axId val="7161401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69450"/>
        <c:crosses val="autoZero"/>
        <c:auto val="1"/>
        <c:lblAlgn val="ctr"/>
        <c:lblOffset val="100"/>
        <c:noMultiLvlLbl val="0"/>
      </c:catAx>
      <c:valAx>
        <c:axId val="1626945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1401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Из чего состоит портфель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Портфель!G11</c:f>
              <c:strCache>
                <c:ptCount val="1"/>
                <c:pt idx="0">
                  <c:v>Стоимость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ffdd2d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1c1c1e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8a9099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c9cdd2"/>
              </a:solidFill>
              <a:ln w="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ffe97a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Портфель!$B$12:$B$16</c:f>
              <c:strCache>
                <c:ptCount val="5"/>
                <c:pt idx="0">
                  <c:v>SBER</c:v>
                </c:pt>
                <c:pt idx="1">
                  <c:v>LKOH</c:v>
                </c:pt>
                <c:pt idx="2">
                  <c:v>OFZ 26238</c:v>
                </c:pt>
                <c:pt idx="3">
                  <c:v>TMOS</c:v>
                </c:pt>
                <c:pt idx="4">
                  <c:v>Кэш</c:v>
                </c:pt>
              </c:strCache>
            </c:strRef>
          </c:cat>
          <c:val>
            <c:numRef>
              <c:f>Портфель!$G$12:$G$16</c:f>
              <c:numCache>
                <c:formatCode>#,##0" ₽";\-#,##0" ₽";\–</c:formatCode>
                <c:ptCount val="5"/>
                <c:pt idx="0">
                  <c:v>20300</c:v>
                </c:pt>
                <c:pt idx="1">
                  <c:v>42000</c:v>
                </c:pt>
                <c:pt idx="2">
                  <c:v>64000</c:v>
                </c:pt>
                <c:pt idx="3">
                  <c:v>69000</c:v>
                </c:pt>
                <c:pt idx="4">
                  <c:v>30000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Бумаг в каждой покупке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Позиция!E19</c:f>
              <c:strCache>
                <c:ptCount val="1"/>
                <c:pt idx="0">
                  <c:v>Бумаг (кратно лоту)</c:v>
                </c:pt>
              </c:strCache>
            </c:strRef>
          </c:tx>
          <c:spPr>
            <a:solidFill>
              <a:srgbClr val="ffdd2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Позиция!$B$20:$B$22</c:f>
              <c:strCache>
                <c:ptCount val="3"/>
                <c:pt idx="0">
                  <c:v>1. Сразу после поста</c:v>
                </c:pt>
                <c:pt idx="1">
                  <c:v>2. Цена снизилась</c:v>
                </c:pt>
                <c:pt idx="2">
                  <c:v>3. Цена снизилась ещё</c:v>
                </c:pt>
              </c:strCache>
            </c:strRef>
          </c:cat>
          <c:val>
            <c:numRef>
              <c:f>Позиция!$E$20:$E$22</c:f>
              <c:numCache>
                <c:formatCode>#,##0;\-#,##0;\–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</c:ser>
        <c:gapWidth val="80"/>
        <c:overlap val="0"/>
        <c:axId val="94678773"/>
        <c:axId val="17297483"/>
      </c:barChart>
      <c:catAx>
        <c:axId val="946787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97483"/>
        <c:crosses val="autoZero"/>
        <c:auto val="1"/>
        <c:lblAlgn val="ctr"/>
        <c:lblOffset val="100"/>
        <c:noMultiLvlLbl val="0"/>
      </c:catAx>
      <c:valAx>
        <c:axId val="17297483"/>
        <c:scaling>
          <c:orientation val="minMax"/>
        </c:scaling>
        <c:delete val="0"/>
        <c:axPos val="l"/>
        <c:numFmt formatCode="#,##0;\-#,##0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787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13</xdr:col>
      <xdr:colOff>277200</xdr:colOff>
      <xdr:row>22</xdr:row>
      <xdr:rowOff>98280</xdr:rowOff>
    </xdr:to>
    <xdr:graphicFrame>
      <xdr:nvGraphicFramePr>
        <xdr:cNvPr id="0" name="Chart 1"/>
        <xdr:cNvGraphicFramePr/>
      </xdr:nvGraphicFramePr>
      <xdr:xfrm>
        <a:off x="6520320" y="257184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29</xdr:row>
      <xdr:rowOff>3600</xdr:rowOff>
    </xdr:from>
    <xdr:to>
      <xdr:col>13</xdr:col>
      <xdr:colOff>277200</xdr:colOff>
      <xdr:row>46</xdr:row>
      <xdr:rowOff>153360</xdr:rowOff>
    </xdr:to>
    <xdr:graphicFrame>
      <xdr:nvGraphicFramePr>
        <xdr:cNvPr id="1" name="Chart 2"/>
        <xdr:cNvGraphicFramePr/>
      </xdr:nvGraphicFramePr>
      <xdr:xfrm>
        <a:off x="6520320" y="8210520"/>
        <a:ext cx="53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6</xdr:col>
      <xdr:colOff>317160</xdr:colOff>
      <xdr:row>46</xdr:row>
      <xdr:rowOff>1080</xdr:rowOff>
    </xdr:to>
    <xdr:graphicFrame>
      <xdr:nvGraphicFramePr>
        <xdr:cNvPr id="2" name="Chart 1"/>
        <xdr:cNvGraphicFramePr/>
      </xdr:nvGraphicFramePr>
      <xdr:xfrm>
        <a:off x="106200" y="840096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18</xdr:row>
      <xdr:rowOff>0</xdr:rowOff>
    </xdr:from>
    <xdr:to>
      <xdr:col>10</xdr:col>
      <xdr:colOff>324720</xdr:colOff>
      <xdr:row>25</xdr:row>
      <xdr:rowOff>282240</xdr:rowOff>
    </xdr:to>
    <xdr:graphicFrame>
      <xdr:nvGraphicFramePr>
        <xdr:cNvPr id="3" name="Chart 1"/>
        <xdr:cNvGraphicFramePr/>
      </xdr:nvGraphicFramePr>
      <xdr:xfrm>
        <a:off x="7718400" y="533412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kyrocket%20&#8212;%20&#1060;&#1080;&#1085;&#1072;&#1085;&#1089;&#1086;&#1074;&#1099;&#1081;%20&#1087;&#1091;&#1083;&#1100;&#1090;.xlsx" TargetMode="External"/><Relationship Id="rId2" Type="http://schemas.openxmlformats.org/officeDocument/2006/relationships/hyperlink" Target="Skyrocket%20&#8212;%20&#1060;&#1080;&#1085;&#1072;&#1085;&#1089;&#1086;&#1074;&#1099;&#1081;%20&#1087;&#1091;&#1083;&#1100;&#1090;.xlsx" TargetMode="External"/><Relationship Id="rId3" Type="http://schemas.openxmlformats.org/officeDocument/2006/relationships/hyperlink" Target="Skyrocket%20&#8212;%20&#1060;&#1080;&#1085;&#1072;&#1085;&#1089;&#1086;&#1074;&#1099;&#1081;%20&#1087;&#1091;&#1083;&#1100;&#1090;.xlsx" TargetMode="External"/><Relationship Id="rId4" Type="http://schemas.openxmlformats.org/officeDocument/2006/relationships/hyperlink" Target="Skyrocket%20&#8212;%20&#1060;&#1080;&#1085;&#1072;&#1085;&#1089;&#1086;&#1074;&#1099;&#1081;%20&#1087;&#1091;&#1083;&#1100;&#1090;.xlsx" TargetMode="External"/><Relationship Id="rId5" Type="http://schemas.openxmlformats.org/officeDocument/2006/relationships/hyperlink" Target="Skyrocket%20&#8212;%20&#1060;&#1080;&#1085;&#1072;&#1085;&#1089;&#1086;&#1074;&#1099;&#1081;%20&#1087;&#1091;&#1083;&#1100;&#1090;.xlsx" TargetMode="External"/><Relationship Id="rId6" Type="http://schemas.openxmlformats.org/officeDocument/2006/relationships/hyperlink" Target="Skyrocket%20&#8212;%20&#1060;&#1080;&#1085;&#1072;&#1085;&#1089;&#1086;&#1074;&#1099;&#1081;%20&#1087;&#1091;&#1083;&#1100;&#1090;.xlsx" TargetMode="External"/><Relationship Id="rId7" Type="http://schemas.openxmlformats.org/officeDocument/2006/relationships/hyperlink" Target="Skyrocket%20&#8212;%20&#1060;&#1080;&#1085;&#1072;&#1085;&#1089;&#1086;&#1074;&#1099;&#1081;%20&#1087;&#1091;&#1083;&#1100;&#1090;.xlsx" TargetMode="External"/><Relationship Id="rId8" Type="http://schemas.openxmlformats.org/officeDocument/2006/relationships/hyperlink" Target="Skyrocket%20&#8212;%20&#1060;&#1080;&#1085;&#1072;&#1085;&#1089;&#1086;&#1074;&#1099;&#1081;%20&#1087;&#1091;&#1083;&#1100;&#1090;.xlsx" TargetMode="External"/><Relationship Id="rId9" Type="http://schemas.openxmlformats.org/officeDocument/2006/relationships/hyperlink" Target="Skyrocket%20&#8212;%20&#1060;&#1080;&#1085;&#1072;&#1085;&#1089;&#1086;&#1074;&#1099;&#1081;%20&#1087;&#1091;&#1083;&#1100;&#1090;.xlsx" TargetMode="External"/><Relationship Id="rId10" Type="http://schemas.openxmlformats.org/officeDocument/2006/relationships/hyperlink" Target="Skyrocket%20&#8212;%20&#1060;&#1080;&#1085;&#1072;&#1085;&#1089;&#1086;&#1074;&#1099;&#1081;%20&#1087;&#1091;&#1083;&#1100;&#1090;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Skyrocket%20&#8212;%20&#1060;&#1080;&#1085;&#1072;&#1085;&#1089;&#1086;&#1074;&#1099;&#1081;%20&#1087;&#1091;&#1083;&#1100;&#1090;.xlsx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Skyrocket%20&#8212;%20&#1060;&#1080;&#1085;&#1072;&#1085;&#1089;&#1086;&#1074;&#1099;&#1081;%20&#1087;&#1091;&#1083;&#1100;&#1090;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Skyrocket%20&#8212;%20&#1060;&#1080;&#1085;&#1072;&#1085;&#1089;&#1086;&#1074;&#1099;&#1081;%20&#1087;&#1091;&#1083;&#1100;&#1090;.xlsx" TargetMode="External"/><Relationship Id="rId2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Skyrocket%20&#8212;%20&#1060;&#1080;&#1085;&#1072;&#1085;&#1089;&#1086;&#1074;&#1099;&#1081;%20&#1087;&#1091;&#1083;&#1100;&#1090;.xlsx" TargetMode="External"/><Relationship Id="rId2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Skyrocket%20&#8212;%20&#1060;&#1080;&#1085;&#1072;&#1085;&#1089;&#1086;&#1074;&#1099;&#1081;%20&#1087;&#1091;&#1083;&#1100;&#1090;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1C1E"/>
    <pageSetUpPr fitToPage="true"/>
  </sheetPr>
  <dimension ref="A1:G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6"/>
    <col collapsed="false" customWidth="true" hidden="false" outlineLevel="0" max="7" min="3" style="0" width="16"/>
    <col collapsed="false" customWidth="true" hidden="false" outlineLevel="0" max="8" min="8" style="0" width="4"/>
  </cols>
  <sheetData>
    <row r="1" customFormat="false" ht="13.5" hidden="false" customHeight="true" outlineLevel="0" collapsed="false">
      <c r="A1" s="1"/>
    </row>
    <row r="2" customFormat="false" ht="39.75" hidden="false" customHeight="true" outlineLevel="0" collapsed="false">
      <c r="A2" s="1"/>
      <c r="B2" s="2" t="s">
        <v>0</v>
      </c>
    </row>
    <row r="3" customFormat="false" ht="19.5" hidden="false" customHeight="true" outlineLevel="0" collapsed="false">
      <c r="A3" s="1"/>
      <c r="B3" s="3" t="s">
        <v>1</v>
      </c>
    </row>
    <row r="4" customFormat="false" ht="12" hidden="false" customHeight="true" outlineLevel="0" collapsed="false"/>
    <row r="5" customFormat="false" ht="25.5" hidden="false" customHeight="true" outlineLevel="0" collapsed="false">
      <c r="B5" s="4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</row>
    <row r="6" customFormat="false" ht="15.75" hidden="false" customHeight="true" outlineLevel="0" collapsed="false"/>
    <row r="8" customFormat="false" ht="24" hidden="false" customHeight="true" outlineLevel="0" collapsed="false">
      <c r="B8" s="6" t="s">
        <v>8</v>
      </c>
    </row>
    <row r="9" customFormat="false" ht="39.75" hidden="false" customHeight="true" outlineLevel="0" collapsed="false">
      <c r="B9" s="7" t="s">
        <v>9</v>
      </c>
      <c r="C9" s="8" t="s">
        <v>10</v>
      </c>
      <c r="D9" s="8"/>
      <c r="E9" s="8"/>
      <c r="F9" s="8"/>
      <c r="G9" s="8"/>
    </row>
    <row r="10" customFormat="false" ht="39.75" hidden="false" customHeight="true" outlineLevel="0" collapsed="false">
      <c r="B10" s="7" t="s">
        <v>11</v>
      </c>
      <c r="C10" s="8" t="s">
        <v>12</v>
      </c>
      <c r="D10" s="8"/>
      <c r="E10" s="8"/>
      <c r="F10" s="8"/>
      <c r="G10" s="8"/>
    </row>
    <row r="11" customFormat="false" ht="39.75" hidden="false" customHeight="true" outlineLevel="0" collapsed="false">
      <c r="B11" s="7" t="s">
        <v>13</v>
      </c>
      <c r="C11" s="8" t="s">
        <v>14</v>
      </c>
      <c r="D11" s="8"/>
      <c r="E11" s="8"/>
      <c r="F11" s="8"/>
      <c r="G11" s="8"/>
    </row>
    <row r="12" customFormat="false" ht="39.75" hidden="false" customHeight="true" outlineLevel="0" collapsed="false">
      <c r="B12" s="7" t="s">
        <v>15</v>
      </c>
      <c r="C12" s="8" t="s">
        <v>16</v>
      </c>
      <c r="D12" s="8"/>
      <c r="E12" s="8"/>
      <c r="F12" s="8"/>
      <c r="G12" s="8"/>
    </row>
    <row r="13" customFormat="false" ht="39.75" hidden="false" customHeight="true" outlineLevel="0" collapsed="false">
      <c r="B13" s="7" t="s">
        <v>17</v>
      </c>
      <c r="C13" s="8" t="s">
        <v>18</v>
      </c>
      <c r="D13" s="8"/>
      <c r="E13" s="8"/>
      <c r="F13" s="8"/>
      <c r="G13" s="8"/>
    </row>
    <row r="15" customFormat="false" ht="24" hidden="false" customHeight="true" outlineLevel="0" collapsed="false">
      <c r="B15" s="6" t="s">
        <v>19</v>
      </c>
    </row>
    <row r="16" customFormat="false" ht="27.75" hidden="false" customHeight="true" outlineLevel="0" collapsed="false">
      <c r="B16" s="9" t="s">
        <v>20</v>
      </c>
      <c r="C16" s="10" t="s">
        <v>21</v>
      </c>
      <c r="D16" s="10"/>
      <c r="E16" s="10"/>
      <c r="F16" s="10"/>
      <c r="G16" s="10"/>
    </row>
    <row r="17" customFormat="false" ht="27.75" hidden="false" customHeight="true" outlineLevel="0" collapsed="false">
      <c r="B17" s="11" t="s">
        <v>22</v>
      </c>
      <c r="C17" s="10" t="s">
        <v>23</v>
      </c>
      <c r="D17" s="10"/>
      <c r="E17" s="10"/>
      <c r="F17" s="10"/>
      <c r="G17" s="10"/>
    </row>
    <row r="19" customFormat="false" ht="15" hidden="false" customHeight="true" outlineLevel="0" collapsed="false">
      <c r="B19" s="12" t="s">
        <v>24</v>
      </c>
      <c r="C19" s="12"/>
      <c r="D19" s="12"/>
      <c r="E19" s="12"/>
      <c r="F19" s="12"/>
      <c r="G19" s="12"/>
    </row>
    <row r="20" customFormat="false" ht="15" hidden="false" customHeight="false" outlineLevel="0" collapsed="false">
      <c r="B20" s="12"/>
      <c r="C20" s="12"/>
      <c r="D20" s="12"/>
      <c r="E20" s="12"/>
      <c r="F20" s="12"/>
      <c r="G20" s="12"/>
    </row>
    <row r="21" customFormat="false" ht="15" hidden="false" customHeight="false" outlineLevel="0" collapsed="false">
      <c r="B21" s="12"/>
      <c r="C21" s="12"/>
      <c r="D21" s="12"/>
      <c r="E21" s="12"/>
      <c r="F21" s="12"/>
      <c r="G21" s="12"/>
    </row>
    <row r="23" customFormat="false" ht="15" hidden="false" customHeight="false" outlineLevel="0" collapsed="false">
      <c r="B23" s="13" t="s">
        <v>25</v>
      </c>
    </row>
  </sheetData>
  <mergeCells count="8">
    <mergeCell ref="C9:G9"/>
    <mergeCell ref="C10:G10"/>
    <mergeCell ref="C11:G11"/>
    <mergeCell ref="C12:G12"/>
    <mergeCell ref="C13:G13"/>
    <mergeCell ref="C16:G16"/>
    <mergeCell ref="C17:G17"/>
    <mergeCell ref="B19:G21"/>
  </mergeCells>
  <hyperlinks>
    <hyperlink ref="C5" r:id="rId1" location="'Бюджет'!A1" display="Бюджет"/>
    <hyperlink ref="D5" r:id="rId2" location="'Подушка'!A1" display="Подушка"/>
    <hyperlink ref="E5" r:id="rId3" location="'Портфель'!A1" display="Портфель"/>
    <hyperlink ref="F5" r:id="rId4" location="'Позиция'!A1" display="Размер позиции"/>
    <hyperlink ref="G5" r:id="rId5" location="'Правила'!A1" display="Правила"/>
    <hyperlink ref="B9" r:id="rId6" location="'Бюджет'!A1" display="01   Бюджет"/>
    <hyperlink ref="B10" r:id="rId7" location="'Подушка'!A1" display="02   Подушка"/>
    <hyperlink ref="B11" r:id="rId8" location="'Портфель'!A1" display="03   Портфель"/>
    <hyperlink ref="B12" r:id="rId9" location="'Позиция'!A1" display="04   Размер позиции"/>
    <hyperlink ref="B13" r:id="rId10" location="'Правила'!A1" display="05   Правила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D2D"/>
    <pageSetUpPr fitToPage="tru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30"/>
    <col collapsed="false" customWidth="true" hidden="false" outlineLevel="0" max="5" min="3" style="0" width="15"/>
    <col collapsed="false" customWidth="true" hidden="false" outlineLevel="0" max="6" min="6" style="0" width="13"/>
    <col collapsed="false" customWidth="true" hidden="false" outlineLevel="0" max="7" min="7" style="0" width="3"/>
    <col collapsed="false" customWidth="true" hidden="false" outlineLevel="0" max="11" min="8" style="0" width="15"/>
    <col collapsed="false" customWidth="true" hidden="false" outlineLevel="0" max="12" min="12" style="0" width="4"/>
  </cols>
  <sheetData>
    <row r="1" customFormat="false" ht="13.5" hidden="false" customHeight="true" outlineLevel="0" collapsed="false">
      <c r="A1" s="1"/>
    </row>
    <row r="2" customFormat="false" ht="39.75" hidden="false" customHeight="true" outlineLevel="0" collapsed="false">
      <c r="A2" s="1"/>
      <c r="B2" s="2" t="s">
        <v>26</v>
      </c>
    </row>
    <row r="3" customFormat="false" ht="19.5" hidden="false" customHeight="true" outlineLevel="0" collapsed="false">
      <c r="A3" s="1"/>
      <c r="B3" s="3" t="s">
        <v>27</v>
      </c>
    </row>
    <row r="4" customFormat="false" ht="12" hidden="false" customHeight="true" outlineLevel="0" collapsed="false"/>
    <row r="5" customFormat="false" ht="25.5" hidden="false" customHeight="true" outlineLevel="0" collapsed="false">
      <c r="B5" s="14" t="s">
        <v>28</v>
      </c>
    </row>
    <row r="6" customFormat="false" ht="15.75" hidden="false" customHeight="true" outlineLevel="0" collapsed="false"/>
    <row r="7" customFormat="false" ht="24" hidden="false" customHeight="true" outlineLevel="0" collapsed="false">
      <c r="B7" s="15" t="s">
        <v>29</v>
      </c>
      <c r="C7" s="16" t="s">
        <v>30</v>
      </c>
      <c r="D7" s="16"/>
      <c r="E7" s="17" t="s">
        <v>31</v>
      </c>
      <c r="F7" s="17"/>
      <c r="H7" s="16" t="s">
        <v>32</v>
      </c>
      <c r="I7" s="16"/>
    </row>
    <row r="8" customFormat="false" ht="37.5" hidden="false" customHeight="true" outlineLevel="0" collapsed="false">
      <c r="B8" s="18" t="n">
        <f aca="false">C18</f>
        <v>135000</v>
      </c>
      <c r="C8" s="19" t="n">
        <f aca="false">D34</f>
        <v>102300</v>
      </c>
      <c r="D8" s="19"/>
      <c r="E8" s="20" t="n">
        <f aca="false">C37</f>
        <v>32700</v>
      </c>
      <c r="F8" s="20"/>
      <c r="H8" s="21" t="n">
        <f aca="false">C38</f>
        <v>0.242222222222222</v>
      </c>
      <c r="I8" s="21"/>
    </row>
    <row r="10" customFormat="false" ht="26.85" hidden="false" customHeight="false" outlineLevel="0" collapsed="false">
      <c r="B10" s="11" t="s">
        <v>33</v>
      </c>
      <c r="C10" s="9" t="s">
        <v>34</v>
      </c>
    </row>
    <row r="11" customFormat="false" ht="26.85" hidden="false" customHeight="false" outlineLevel="0" collapsed="false">
      <c r="B11" s="11" t="s">
        <v>35</v>
      </c>
      <c r="C11" s="22" t="n">
        <v>0.2</v>
      </c>
    </row>
    <row r="13" customFormat="false" ht="24" hidden="false" customHeight="true" outlineLevel="0" collapsed="false">
      <c r="B13" s="6" t="s">
        <v>29</v>
      </c>
    </row>
    <row r="14" customFormat="false" ht="30" hidden="false" customHeight="true" outlineLevel="0" collapsed="false">
      <c r="B14" s="23" t="s">
        <v>36</v>
      </c>
      <c r="C14" s="24" t="s">
        <v>37</v>
      </c>
    </row>
    <row r="15" customFormat="false" ht="15" hidden="false" customHeight="false" outlineLevel="0" collapsed="false">
      <c r="B15" s="9" t="s">
        <v>38</v>
      </c>
      <c r="C15" s="25" t="n">
        <v>120000</v>
      </c>
    </row>
    <row r="16" customFormat="false" ht="15" hidden="false" customHeight="false" outlineLevel="0" collapsed="false">
      <c r="B16" s="9" t="s">
        <v>39</v>
      </c>
      <c r="C16" s="25" t="n">
        <v>15000</v>
      </c>
    </row>
    <row r="17" customFormat="false" ht="15" hidden="false" customHeight="false" outlineLevel="0" collapsed="false">
      <c r="B17" s="9" t="s">
        <v>40</v>
      </c>
      <c r="C17" s="25" t="n">
        <v>0</v>
      </c>
    </row>
    <row r="18" customFormat="false" ht="15" hidden="false" customHeight="false" outlineLevel="0" collapsed="false">
      <c r="B18" s="26" t="s">
        <v>41</v>
      </c>
      <c r="C18" s="27" t="n">
        <f aca="false">SUM(C15:C17)</f>
        <v>135000</v>
      </c>
    </row>
    <row r="20" customFormat="false" ht="24" hidden="false" customHeight="true" outlineLevel="0" collapsed="false">
      <c r="B20" s="6" t="s">
        <v>30</v>
      </c>
    </row>
    <row r="21" customFormat="false" ht="30" hidden="false" customHeight="true" outlineLevel="0" collapsed="false">
      <c r="B21" s="23" t="s">
        <v>42</v>
      </c>
      <c r="C21" s="24" t="s">
        <v>43</v>
      </c>
      <c r="D21" s="24" t="s">
        <v>44</v>
      </c>
      <c r="E21" s="24" t="s">
        <v>45</v>
      </c>
      <c r="F21" s="24" t="s">
        <v>46</v>
      </c>
    </row>
    <row r="22" customFormat="false" ht="24" hidden="false" customHeight="true" outlineLevel="0" collapsed="false">
      <c r="B22" s="9" t="s">
        <v>47</v>
      </c>
      <c r="C22" s="25" t="n">
        <v>35000</v>
      </c>
      <c r="D22" s="25" t="n">
        <v>35000</v>
      </c>
      <c r="E22" s="28" t="n">
        <f aca="false">C22-D22</f>
        <v>0</v>
      </c>
      <c r="F22" s="29" t="n">
        <f aca="false">IFERROR(D22/$D$34,0)</f>
        <v>0.342130987292278</v>
      </c>
    </row>
    <row r="23" customFormat="false" ht="24" hidden="false" customHeight="true" outlineLevel="0" collapsed="false">
      <c r="B23" s="9" t="s">
        <v>48</v>
      </c>
      <c r="C23" s="25" t="n">
        <v>6000</v>
      </c>
      <c r="D23" s="25" t="n">
        <v>6400</v>
      </c>
      <c r="E23" s="28" t="n">
        <f aca="false">C23-D23</f>
        <v>-400</v>
      </c>
      <c r="F23" s="29" t="n">
        <f aca="false">IFERROR(D23/$D$34,0)</f>
        <v>0.0625610948191593</v>
      </c>
    </row>
    <row r="24" customFormat="false" ht="24" hidden="false" customHeight="true" outlineLevel="0" collapsed="false">
      <c r="B24" s="9" t="s">
        <v>49</v>
      </c>
      <c r="C24" s="25" t="n">
        <v>22000</v>
      </c>
      <c r="D24" s="25" t="n">
        <v>24800</v>
      </c>
      <c r="E24" s="28" t="n">
        <f aca="false">C24-D24</f>
        <v>-2800</v>
      </c>
      <c r="F24" s="29" t="n">
        <f aca="false">IFERROR(D24/$D$34,0)</f>
        <v>0.242424242424242</v>
      </c>
    </row>
    <row r="25" customFormat="false" ht="24" hidden="false" customHeight="true" outlineLevel="0" collapsed="false">
      <c r="B25" s="9" t="s">
        <v>50</v>
      </c>
      <c r="C25" s="25" t="n">
        <v>6000</v>
      </c>
      <c r="D25" s="25" t="n">
        <v>9200</v>
      </c>
      <c r="E25" s="28" t="n">
        <f aca="false">C25-D25</f>
        <v>-3200</v>
      </c>
      <c r="F25" s="29" t="n">
        <f aca="false">IFERROR(D25/$D$34,0)</f>
        <v>0.0899315738025416</v>
      </c>
    </row>
    <row r="26" customFormat="false" ht="24" hidden="false" customHeight="true" outlineLevel="0" collapsed="false">
      <c r="B26" s="9" t="s">
        <v>51</v>
      </c>
      <c r="C26" s="25" t="n">
        <v>7000</v>
      </c>
      <c r="D26" s="25" t="n">
        <v>6300</v>
      </c>
      <c r="E26" s="28" t="n">
        <f aca="false">C26-D26</f>
        <v>700</v>
      </c>
      <c r="F26" s="29" t="n">
        <f aca="false">IFERROR(D26/$D$34,0)</f>
        <v>0.06158357771261</v>
      </c>
    </row>
    <row r="27" customFormat="false" ht="24" hidden="false" customHeight="true" outlineLevel="0" collapsed="false">
      <c r="B27" s="9" t="s">
        <v>52</v>
      </c>
      <c r="C27" s="25" t="n">
        <v>0</v>
      </c>
      <c r="D27" s="25" t="n">
        <v>0</v>
      </c>
      <c r="E27" s="28" t="n">
        <f aca="false">C27-D27</f>
        <v>0</v>
      </c>
      <c r="F27" s="29" t="n">
        <f aca="false">IFERROR(D27/$D$34,0)</f>
        <v>0</v>
      </c>
    </row>
    <row r="28" customFormat="false" ht="24" hidden="false" customHeight="true" outlineLevel="0" collapsed="false">
      <c r="B28" s="9" t="s">
        <v>53</v>
      </c>
      <c r="C28" s="25" t="n">
        <v>3000</v>
      </c>
      <c r="D28" s="25" t="n">
        <v>1500</v>
      </c>
      <c r="E28" s="28" t="n">
        <f aca="false">C28-D28</f>
        <v>1500</v>
      </c>
      <c r="F28" s="29" t="n">
        <f aca="false">IFERROR(D28/$D$34,0)</f>
        <v>0.0146627565982405</v>
      </c>
    </row>
    <row r="29" customFormat="false" ht="24" hidden="false" customHeight="true" outlineLevel="0" collapsed="false">
      <c r="B29" s="9" t="s">
        <v>54</v>
      </c>
      <c r="C29" s="25" t="n">
        <v>4000</v>
      </c>
      <c r="D29" s="25" t="n">
        <v>2500</v>
      </c>
      <c r="E29" s="28" t="n">
        <f aca="false">C29-D29</f>
        <v>1500</v>
      </c>
      <c r="F29" s="29" t="n">
        <f aca="false">IFERROR(D29/$D$34,0)</f>
        <v>0.0244379276637341</v>
      </c>
    </row>
    <row r="30" customFormat="false" ht="24" hidden="false" customHeight="true" outlineLevel="0" collapsed="false">
      <c r="B30" s="9" t="s">
        <v>55</v>
      </c>
      <c r="C30" s="25" t="n">
        <v>5000</v>
      </c>
      <c r="D30" s="25" t="n">
        <v>5800</v>
      </c>
      <c r="E30" s="28" t="n">
        <f aca="false">C30-D30</f>
        <v>-800</v>
      </c>
      <c r="F30" s="29" t="n">
        <f aca="false">IFERROR(D30/$D$34,0)</f>
        <v>0.0566959921798631</v>
      </c>
    </row>
    <row r="31" customFormat="false" ht="24" hidden="false" customHeight="true" outlineLevel="0" collapsed="false">
      <c r="B31" s="9" t="s">
        <v>56</v>
      </c>
      <c r="C31" s="25" t="n">
        <v>1500</v>
      </c>
      <c r="D31" s="25" t="n">
        <v>1700</v>
      </c>
      <c r="E31" s="28" t="n">
        <f aca="false">C31-D31</f>
        <v>-200</v>
      </c>
      <c r="F31" s="29" t="n">
        <f aca="false">IFERROR(D31/$D$34,0)</f>
        <v>0.0166177908113392</v>
      </c>
    </row>
    <row r="32" customFormat="false" ht="24" hidden="false" customHeight="true" outlineLevel="0" collapsed="false">
      <c r="B32" s="9" t="s">
        <v>57</v>
      </c>
      <c r="C32" s="25" t="n">
        <v>5000</v>
      </c>
      <c r="D32" s="25" t="n">
        <v>6900</v>
      </c>
      <c r="E32" s="28" t="n">
        <f aca="false">C32-D32</f>
        <v>-1900</v>
      </c>
      <c r="F32" s="29" t="n">
        <f aca="false">IFERROR(D32/$D$34,0)</f>
        <v>0.0674486803519062</v>
      </c>
    </row>
    <row r="33" customFormat="false" ht="24" hidden="false" customHeight="true" outlineLevel="0" collapsed="false">
      <c r="B33" s="9" t="s">
        <v>58</v>
      </c>
      <c r="C33" s="25" t="n">
        <v>3000</v>
      </c>
      <c r="D33" s="25" t="n">
        <v>2200</v>
      </c>
      <c r="E33" s="28" t="n">
        <f aca="false">C33-D33</f>
        <v>800</v>
      </c>
      <c r="F33" s="29" t="n">
        <f aca="false">IFERROR(D33/$D$34,0)</f>
        <v>0.021505376344086</v>
      </c>
    </row>
    <row r="34" customFormat="false" ht="15" hidden="false" customHeight="false" outlineLevel="0" collapsed="false">
      <c r="B34" s="26" t="s">
        <v>59</v>
      </c>
      <c r="C34" s="27" t="n">
        <f aca="false">SUM(C22:C33)</f>
        <v>97500</v>
      </c>
      <c r="D34" s="27" t="n">
        <f aca="false">SUM(D22:D33)</f>
        <v>102300</v>
      </c>
      <c r="E34" s="27" t="n">
        <f aca="false">C34-D34</f>
        <v>-4800</v>
      </c>
      <c r="F34" s="30" t="n">
        <f aca="false">IFERROR(D34/D34,0)</f>
        <v>1</v>
      </c>
    </row>
    <row r="36" customFormat="false" ht="24" hidden="false" customHeight="true" outlineLevel="0" collapsed="false">
      <c r="B36" s="6" t="s">
        <v>60</v>
      </c>
    </row>
    <row r="37" customFormat="false" ht="15" hidden="false" customHeight="false" outlineLevel="0" collapsed="false">
      <c r="B37" s="11" t="s">
        <v>61</v>
      </c>
      <c r="C37" s="27" t="n">
        <f aca="false">C18-D34</f>
        <v>32700</v>
      </c>
    </row>
    <row r="38" customFormat="false" ht="15" hidden="false" customHeight="false" outlineLevel="0" collapsed="false">
      <c r="B38" s="11" t="s">
        <v>62</v>
      </c>
      <c r="C38" s="30" t="n">
        <f aca="false">IFERROR(C37/C18,0)</f>
        <v>0.242222222222222</v>
      </c>
    </row>
    <row r="40" customFormat="false" ht="15" hidden="false" customHeight="false" outlineLevel="0" collapsed="false">
      <c r="B40" s="31" t="str">
        <f aca="false">IF(C18=0,"Внесите доходы",IF(C37&lt;0,"Расходы больше доходов. Начните с самой большой категории",IF(C38&gt;=C11,"Отлично: цель по сбережениям выполнена","Цель не добрана: не хватает "&amp;TEXT(C18*C11-C37,"# ##0")&amp;" ₽")))</f>
        <v>Отлично: цель по сбережениям выполнена</v>
      </c>
      <c r="C40" s="31"/>
      <c r="D40" s="31"/>
      <c r="E40" s="31"/>
      <c r="F40" s="31"/>
    </row>
    <row r="41" customFormat="false" ht="15" hidden="false" customHeight="false" outlineLevel="0" collapsed="false">
      <c r="B41" s="31"/>
      <c r="C41" s="31"/>
      <c r="D41" s="31"/>
      <c r="E41" s="31"/>
      <c r="F41" s="31"/>
    </row>
  </sheetData>
  <mergeCells count="7">
    <mergeCell ref="C7:D7"/>
    <mergeCell ref="E7:F7"/>
    <mergeCell ref="H7:I7"/>
    <mergeCell ref="C8:D8"/>
    <mergeCell ref="E8:F8"/>
    <mergeCell ref="H8:I8"/>
    <mergeCell ref="B40:F41"/>
  </mergeCells>
  <conditionalFormatting sqref="E22:E3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C38">
    <cfRule type="cellIs" priority="4" operator="lessThan" aboveAverage="0" equalAverage="0" bottom="0" percent="0" rank="0" text="" dxfId="0">
      <formula>$C$11</formula>
    </cfRule>
  </conditionalFormatting>
  <hyperlinks>
    <hyperlink ref="B5" r:id="rId2" location="'Старт'!A1" display="← 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D2D"/>
    <pageSetUpPr fitToPage="tru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7" min="5" style="0" width="18"/>
    <col collapsed="false" customWidth="true" hidden="false" outlineLevel="0" max="8" min="8" style="0" width="4"/>
  </cols>
  <sheetData>
    <row r="1" customFormat="false" ht="13.5" hidden="false" customHeight="true" outlineLevel="0" collapsed="false">
      <c r="A1" s="1"/>
    </row>
    <row r="2" customFormat="false" ht="39.75" hidden="false" customHeight="true" outlineLevel="0" collapsed="false">
      <c r="A2" s="1"/>
      <c r="B2" s="2" t="s">
        <v>63</v>
      </c>
    </row>
    <row r="3" customFormat="false" ht="19.5" hidden="false" customHeight="true" outlineLevel="0" collapsed="false">
      <c r="A3" s="1"/>
      <c r="B3" s="3" t="s">
        <v>64</v>
      </c>
    </row>
    <row r="4" customFormat="false" ht="12" hidden="false" customHeight="true" outlineLevel="0" collapsed="false"/>
    <row r="5" customFormat="false" ht="25.5" hidden="false" customHeight="true" outlineLevel="0" collapsed="false">
      <c r="B5" s="14" t="s">
        <v>28</v>
      </c>
    </row>
    <row r="6" customFormat="false" ht="15.75" hidden="false" customHeight="true" outlineLevel="0" collapsed="false"/>
    <row r="7" customFormat="false" ht="24" hidden="false" customHeight="true" outlineLevel="0" collapsed="false">
      <c r="B7" s="15" t="s">
        <v>65</v>
      </c>
      <c r="C7" s="16" t="s">
        <v>66</v>
      </c>
      <c r="D7" s="16"/>
      <c r="E7" s="16"/>
      <c r="F7" s="17" t="s">
        <v>67</v>
      </c>
      <c r="G7" s="17"/>
    </row>
    <row r="8" customFormat="false" ht="37.5" hidden="false" customHeight="true" outlineLevel="0" collapsed="false">
      <c r="B8" s="18" t="n">
        <f aca="false">C13</f>
        <v>222000</v>
      </c>
      <c r="C8" s="19" t="n">
        <f aca="false">C14</f>
        <v>60000</v>
      </c>
      <c r="D8" s="19"/>
      <c r="E8" s="19"/>
      <c r="F8" s="32" t="n">
        <f aca="false">C17</f>
        <v>0.27027027027027</v>
      </c>
      <c r="G8" s="32"/>
    </row>
    <row r="10" customFormat="false" ht="24" hidden="false" customHeight="true" outlineLevel="0" collapsed="false">
      <c r="B10" s="6" t="s">
        <v>68</v>
      </c>
    </row>
    <row r="11" customFormat="false" ht="30" hidden="false" customHeight="true" outlineLevel="0" collapsed="false">
      <c r="B11" s="11" t="s">
        <v>69</v>
      </c>
      <c r="C11" s="25" t="n">
        <f aca="false">Бюджет!D22+Бюджет!D23+Бюджет!D24+Бюджет!D26+Бюджет!D27+Бюджет!D28</f>
        <v>74000</v>
      </c>
      <c r="E11" s="33" t="s">
        <v>70</v>
      </c>
      <c r="F11" s="33"/>
      <c r="G11" s="33"/>
    </row>
    <row r="12" customFormat="false" ht="30" hidden="false" customHeight="true" outlineLevel="0" collapsed="false">
      <c r="B12" s="11" t="s">
        <v>71</v>
      </c>
      <c r="C12" s="34" t="n">
        <v>3</v>
      </c>
      <c r="E12" s="33" t="s">
        <v>72</v>
      </c>
      <c r="F12" s="33"/>
      <c r="G12" s="33"/>
    </row>
    <row r="13" customFormat="false" ht="30" hidden="false" customHeight="true" outlineLevel="0" collapsed="false">
      <c r="B13" s="26" t="s">
        <v>73</v>
      </c>
      <c r="C13" s="27" t="n">
        <f aca="false">C11*C12</f>
        <v>222000</v>
      </c>
    </row>
    <row r="14" customFormat="false" ht="30" hidden="false" customHeight="true" outlineLevel="0" collapsed="false">
      <c r="B14" s="11" t="s">
        <v>74</v>
      </c>
      <c r="C14" s="25" t="n">
        <v>60000</v>
      </c>
    </row>
    <row r="15" customFormat="false" ht="30" hidden="false" customHeight="true" outlineLevel="0" collapsed="false">
      <c r="B15" s="11" t="s">
        <v>75</v>
      </c>
      <c r="C15" s="28" t="n">
        <f aca="false">MAX(0,C13-C14)</f>
        <v>162000</v>
      </c>
    </row>
    <row r="16" customFormat="false" ht="30" hidden="false" customHeight="true" outlineLevel="0" collapsed="false">
      <c r="B16" s="11" t="s">
        <v>76</v>
      </c>
      <c r="C16" s="35" t="n">
        <f aca="false">IFERROR(C14/C11,0)</f>
        <v>0.810810810810811</v>
      </c>
    </row>
    <row r="17" customFormat="false" ht="30" hidden="false" customHeight="true" outlineLevel="0" collapsed="false">
      <c r="B17" s="11" t="s">
        <v>77</v>
      </c>
      <c r="C17" s="36" t="n">
        <f aca="false">IFERROR(MIN(1,C14/C13),0)</f>
        <v>0.27027027027027</v>
      </c>
    </row>
    <row r="18" customFormat="false" ht="30" hidden="false" customHeight="true" outlineLevel="0" collapsed="false">
      <c r="B18" s="11" t="s">
        <v>78</v>
      </c>
      <c r="C18" s="25" t="n">
        <f aca="false">MAX(0,Бюджет!C37)</f>
        <v>32700</v>
      </c>
      <c r="E18" s="33" t="s">
        <v>79</v>
      </c>
      <c r="F18" s="33"/>
      <c r="G18" s="33"/>
    </row>
    <row r="19" customFormat="false" ht="30" hidden="false" customHeight="true" outlineLevel="0" collapsed="false">
      <c r="B19" s="26" t="s">
        <v>80</v>
      </c>
      <c r="C19" s="37" t="n">
        <f aca="false">IF(C15=0,0,IF(C18&lt;=0,"копите хоть немного",ROUNDUP(C15/C18,0)))</f>
        <v>5</v>
      </c>
    </row>
    <row r="21" customFormat="false" ht="24" hidden="false" customHeight="true" outlineLevel="0" collapsed="false">
      <c r="B21" s="6" t="s">
        <v>81</v>
      </c>
    </row>
    <row r="22" customFormat="false" ht="27.75" hidden="false" customHeight="true" outlineLevel="0" collapsed="false">
      <c r="B22" s="38" t="s">
        <v>82</v>
      </c>
      <c r="C22" s="38"/>
      <c r="D22" s="38"/>
      <c r="E22" s="38"/>
      <c r="F22" s="38"/>
      <c r="G22" s="38"/>
    </row>
    <row r="23" customFormat="false" ht="27.75" hidden="false" customHeight="true" outlineLevel="0" collapsed="false">
      <c r="B23" s="38" t="s">
        <v>83</v>
      </c>
      <c r="C23" s="38"/>
      <c r="D23" s="38"/>
      <c r="E23" s="38"/>
      <c r="F23" s="38"/>
      <c r="G23" s="38"/>
    </row>
    <row r="24" customFormat="false" ht="27.75" hidden="false" customHeight="true" outlineLevel="0" collapsed="false">
      <c r="B24" s="38" t="s">
        <v>84</v>
      </c>
      <c r="C24" s="38"/>
      <c r="D24" s="38"/>
      <c r="E24" s="38"/>
      <c r="F24" s="38"/>
      <c r="G24" s="38"/>
    </row>
    <row r="25" customFormat="false" ht="27.75" hidden="false" customHeight="true" outlineLevel="0" collapsed="false">
      <c r="B25" s="38" t="s">
        <v>85</v>
      </c>
      <c r="C25" s="38"/>
      <c r="D25" s="38"/>
      <c r="E25" s="38"/>
      <c r="F25" s="38"/>
      <c r="G25" s="38"/>
    </row>
  </sheetData>
  <mergeCells count="11">
    <mergeCell ref="C7:E7"/>
    <mergeCell ref="F7:G7"/>
    <mergeCell ref="C8:E8"/>
    <mergeCell ref="F8:G8"/>
    <mergeCell ref="E11:G11"/>
    <mergeCell ref="E12:G12"/>
    <mergeCell ref="E18:G18"/>
    <mergeCell ref="B22:G22"/>
    <mergeCell ref="B23:G23"/>
    <mergeCell ref="B24:G24"/>
    <mergeCell ref="B25:G25"/>
  </mergeCells>
  <conditionalFormatting sqref="C17">
    <cfRule type="dataBar" priority="2">
      <dataBar showValue="1" minLength="10" maxLength="90">
        <cfvo type="num" val="0"/>
        <cfvo type="num" val="1"/>
        <color rgb="FFFFDD2D"/>
      </dataBar>
      <extLst>
        <ext xmlns:x14="http://schemas.microsoft.com/office/spreadsheetml/2009/9/main" uri="{B025F937-C7B1-47D3-B67F-A62EFF666E3E}">
          <x14:id>{723F6BAA-E735-4717-9015-63B16CE53CF8}</x14:id>
        </ext>
      </extLst>
    </cfRule>
  </conditionalFormatting>
  <hyperlinks>
    <hyperlink ref="B5" r:id="rId1" location="'Старт'!A1" display="← 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3F6BAA-E735-4717-9015-63B16CE53CF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FFDD2D"/>
              <x14:axisColor rgb="FF000000"/>
            </x14:dataBar>
          </x14:cfRule>
          <xm:sqref>C17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D2D"/>
    <pageSetUpPr fitToPage="true"/>
  </sheetPr>
  <dimension ref="A1:K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7" min="5" style="0" width="15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28"/>
    <col collapsed="false" customWidth="true" hidden="false" outlineLevel="0" max="12" min="12" style="0" width="4"/>
  </cols>
  <sheetData>
    <row r="1" customFormat="false" ht="13.5" hidden="false" customHeight="true" outlineLevel="0" collapsed="false">
      <c r="A1" s="1"/>
    </row>
    <row r="2" customFormat="false" ht="39.75" hidden="false" customHeight="true" outlineLevel="0" collapsed="false">
      <c r="A2" s="1"/>
      <c r="B2" s="2" t="s">
        <v>86</v>
      </c>
    </row>
    <row r="3" customFormat="false" ht="19.5" hidden="false" customHeight="true" outlineLevel="0" collapsed="false">
      <c r="A3" s="1"/>
      <c r="B3" s="3" t="s">
        <v>87</v>
      </c>
    </row>
    <row r="4" customFormat="false" ht="12" hidden="false" customHeight="true" outlineLevel="0" collapsed="false"/>
    <row r="5" customFormat="false" ht="25.5" hidden="false" customHeight="true" outlineLevel="0" collapsed="false">
      <c r="B5" s="14" t="s">
        <v>28</v>
      </c>
    </row>
    <row r="6" customFormat="false" ht="15.75" hidden="false" customHeight="true" outlineLevel="0" collapsed="false"/>
    <row r="7" customFormat="false" ht="24" hidden="false" customHeight="true" outlineLevel="0" collapsed="false">
      <c r="B7" s="17" t="s">
        <v>88</v>
      </c>
      <c r="C7" s="17"/>
      <c r="D7" s="16" t="s">
        <v>89</v>
      </c>
      <c r="E7" s="16"/>
      <c r="F7" s="16"/>
      <c r="G7" s="16" t="s">
        <v>90</v>
      </c>
      <c r="H7" s="16"/>
      <c r="I7" s="16" t="s">
        <v>91</v>
      </c>
      <c r="J7" s="16"/>
      <c r="K7" s="16"/>
    </row>
    <row r="8" customFormat="false" ht="37.5" hidden="false" customHeight="true" outlineLevel="0" collapsed="false">
      <c r="B8" s="20" t="n">
        <f aca="false">G27</f>
        <v>225300</v>
      </c>
      <c r="C8" s="20"/>
      <c r="D8" s="19" t="n">
        <f aca="false">I27</f>
        <v>13800</v>
      </c>
      <c r="E8" s="19"/>
      <c r="F8" s="19"/>
      <c r="G8" s="21" t="n">
        <f aca="false">J27</f>
        <v>0.0760330578512397</v>
      </c>
      <c r="H8" s="21"/>
      <c r="I8" s="39" t="n">
        <f aca="false">COUNTIFS(C12:C26,"Акция",H12:H26,"&gt;0.1")+COUNTIFS(C12:C26,"Крипта",H12:H26,"&gt;0.1")</f>
        <v>1</v>
      </c>
      <c r="J8" s="39"/>
      <c r="K8" s="39"/>
    </row>
    <row r="10" customFormat="false" ht="24" hidden="false" customHeight="true" outlineLevel="0" collapsed="false">
      <c r="B10" s="6" t="s">
        <v>92</v>
      </c>
    </row>
    <row r="11" customFormat="false" ht="30" hidden="false" customHeight="true" outlineLevel="0" collapsed="false">
      <c r="B11" s="23" t="s">
        <v>93</v>
      </c>
      <c r="C11" s="24" t="s">
        <v>94</v>
      </c>
      <c r="D11" s="24" t="s">
        <v>95</v>
      </c>
      <c r="E11" s="24" t="s">
        <v>96</v>
      </c>
      <c r="F11" s="24" t="s">
        <v>97</v>
      </c>
      <c r="G11" s="24" t="s">
        <v>98</v>
      </c>
      <c r="H11" s="24" t="s">
        <v>46</v>
      </c>
      <c r="I11" s="24" t="s">
        <v>99</v>
      </c>
      <c r="J11" s="24" t="s">
        <v>100</v>
      </c>
      <c r="K11" s="24" t="s">
        <v>101</v>
      </c>
    </row>
    <row r="12" customFormat="false" ht="24" hidden="false" customHeight="true" outlineLevel="0" collapsed="false">
      <c r="B12" s="9" t="s">
        <v>102</v>
      </c>
      <c r="C12" s="9" t="s">
        <v>103</v>
      </c>
      <c r="D12" s="40" t="n">
        <v>70</v>
      </c>
      <c r="E12" s="41" t="n">
        <v>250</v>
      </c>
      <c r="F12" s="41" t="n">
        <v>290</v>
      </c>
      <c r="G12" s="28" t="n">
        <f aca="false">IF(B12="","",D12*F12)</f>
        <v>20300</v>
      </c>
      <c r="H12" s="29" t="n">
        <f aca="false">IF(B12="","",IFERROR(G12/$G$27,0))</f>
        <v>0.0901020861074123</v>
      </c>
      <c r="I12" s="28" t="n">
        <f aca="false">IF(OR(B12="",C12="Деньги"),"",D12*(F12-E12))</f>
        <v>2800</v>
      </c>
      <c r="J12" s="29" t="n">
        <f aca="false">IF(OR(B12="",C12="Деньги"),"",IFERROR(F12/E12-1,0))</f>
        <v>0.16</v>
      </c>
      <c r="K12" s="11" t="str">
        <f aca="false">IF(B12="","",IF(OR(C12="Акция",C12="Крипта"),IF(H12&gt;0.2,"Больше 20%: многовато",IF(H12&gt;0.1,"Выше 10%: не докупать","В норме")),""))</f>
        <v>В норме</v>
      </c>
    </row>
    <row r="13" customFormat="false" ht="24" hidden="false" customHeight="true" outlineLevel="0" collapsed="false">
      <c r="B13" s="9" t="s">
        <v>104</v>
      </c>
      <c r="C13" s="9" t="s">
        <v>103</v>
      </c>
      <c r="D13" s="40" t="n">
        <v>6</v>
      </c>
      <c r="E13" s="41" t="n">
        <v>6500</v>
      </c>
      <c r="F13" s="41" t="n">
        <v>7000</v>
      </c>
      <c r="G13" s="28" t="n">
        <f aca="false">IF(B13="","",D13*F13)</f>
        <v>42000</v>
      </c>
      <c r="H13" s="29" t="n">
        <f aca="false">IF(B13="","",IFERROR(G13/$G$27,0))</f>
        <v>0.18641810918775</v>
      </c>
      <c r="I13" s="28" t="n">
        <f aca="false">IF(OR(B13="",C13="Деньги"),"",D13*(F13-E13))</f>
        <v>3000</v>
      </c>
      <c r="J13" s="29" t="n">
        <f aca="false">IF(OR(B13="",C13="Деньги"),"",IFERROR(F13/E13-1,0))</f>
        <v>0.0769230769230769</v>
      </c>
      <c r="K13" s="11" t="str">
        <f aca="false">IF(B13="","",IF(OR(C13="Акция",C13="Крипта"),IF(H13&gt;0.2,"Больше 20%: многовато",IF(H13&gt;0.1,"Выше 10%: не докупать","В норме")),""))</f>
        <v>Выше 10%: не докупать</v>
      </c>
    </row>
    <row r="14" customFormat="false" ht="24" hidden="false" customHeight="true" outlineLevel="0" collapsed="false">
      <c r="B14" s="9" t="s">
        <v>105</v>
      </c>
      <c r="C14" s="9" t="s">
        <v>106</v>
      </c>
      <c r="D14" s="40" t="n">
        <v>100</v>
      </c>
      <c r="E14" s="41" t="n">
        <v>600</v>
      </c>
      <c r="F14" s="41" t="n">
        <v>640</v>
      </c>
      <c r="G14" s="28" t="n">
        <f aca="false">IF(B14="","",D14*F14)</f>
        <v>64000</v>
      </c>
      <c r="H14" s="29" t="n">
        <f aca="false">IF(B14="","",IFERROR(G14/$G$27,0))</f>
        <v>0.284065690190857</v>
      </c>
      <c r="I14" s="28" t="n">
        <f aca="false">IF(OR(B14="",C14="Деньги"),"",D14*(F14-E14))</f>
        <v>4000</v>
      </c>
      <c r="J14" s="29" t="n">
        <f aca="false">IF(OR(B14="",C14="Деньги"),"",IFERROR(F14/E14-1,0))</f>
        <v>0.0666666666666667</v>
      </c>
      <c r="K14" s="11" t="str">
        <f aca="false">IF(B14="","",IF(OR(C14="Акция",C14="Крипта"),IF(H14&gt;0.2,"Больше 20%: многовато",IF(H14&gt;0.1,"Выше 10%: не докупать","В норме")),""))</f>
        <v/>
      </c>
    </row>
    <row r="15" customFormat="false" ht="24" hidden="false" customHeight="true" outlineLevel="0" collapsed="false">
      <c r="B15" s="9" t="s">
        <v>107</v>
      </c>
      <c r="C15" s="9" t="s">
        <v>108</v>
      </c>
      <c r="D15" s="40" t="n">
        <v>10000</v>
      </c>
      <c r="E15" s="41" t="n">
        <v>6.5</v>
      </c>
      <c r="F15" s="41" t="n">
        <v>6.9</v>
      </c>
      <c r="G15" s="28" t="n">
        <f aca="false">IF(B15="","",D15*F15)</f>
        <v>69000</v>
      </c>
      <c r="H15" s="29" t="n">
        <f aca="false">IF(B15="","",IFERROR(G15/$G$27,0))</f>
        <v>0.306258322237017</v>
      </c>
      <c r="I15" s="28" t="n">
        <f aca="false">IF(OR(B15="",C15="Деньги"),"",D15*(F15-E15))</f>
        <v>4000</v>
      </c>
      <c r="J15" s="29" t="n">
        <f aca="false">IF(OR(B15="",C15="Деньги"),"",IFERROR(F15/E15-1,0))</f>
        <v>0.0615384615384615</v>
      </c>
      <c r="K15" s="11" t="str">
        <f aca="false">IF(B15="","",IF(OR(C15="Акция",C15="Крипта"),IF(H15&gt;0.2,"Больше 20%: многовато",IF(H15&gt;0.1,"Выше 10%: не докупать","В норме")),""))</f>
        <v/>
      </c>
    </row>
    <row r="16" customFormat="false" ht="24" hidden="false" customHeight="true" outlineLevel="0" collapsed="false">
      <c r="B16" s="9" t="s">
        <v>109</v>
      </c>
      <c r="C16" s="9" t="s">
        <v>110</v>
      </c>
      <c r="D16" s="40" t="n">
        <v>1</v>
      </c>
      <c r="E16" s="41" t="n">
        <v>30000</v>
      </c>
      <c r="F16" s="41" t="n">
        <v>30000</v>
      </c>
      <c r="G16" s="28" t="n">
        <f aca="false">IF(B16="","",D16*F16)</f>
        <v>30000</v>
      </c>
      <c r="H16" s="29" t="n">
        <f aca="false">IF(B16="","",IFERROR(G16/$G$27,0))</f>
        <v>0.133155792276964</v>
      </c>
      <c r="I16" s="28" t="str">
        <f aca="false">IF(OR(B16="",C16="Деньги"),"",D16*(F16-E16))</f>
        <v/>
      </c>
      <c r="J16" s="29" t="str">
        <f aca="false">IF(OR(B16="",C16="Деньги"),"",IFERROR(F16/E16-1,0))</f>
        <v/>
      </c>
      <c r="K16" s="11" t="str">
        <f aca="false">IF(B16="","",IF(OR(C16="Акция",C16="Крипта"),IF(H16&gt;0.2,"Больше 20%: многовато",IF(H16&gt;0.1,"Выше 10%: не докупать","В норме")),""))</f>
        <v/>
      </c>
    </row>
    <row r="17" customFormat="false" ht="24" hidden="false" customHeight="true" outlineLevel="0" collapsed="false">
      <c r="B17" s="9"/>
      <c r="C17" s="9"/>
      <c r="D17" s="40"/>
      <c r="E17" s="41"/>
      <c r="F17" s="41"/>
      <c r="G17" s="28" t="str">
        <f aca="false">IF(B17="","",D17*F17)</f>
        <v/>
      </c>
      <c r="H17" s="29" t="str">
        <f aca="false">IF(B17="","",IFERROR(G17/$G$27,0))</f>
        <v/>
      </c>
      <c r="I17" s="28" t="str">
        <f aca="false">IF(OR(B17="",C17="Деньги"),"",D17*(F17-E17))</f>
        <v/>
      </c>
      <c r="J17" s="29" t="str">
        <f aca="false">IF(OR(B17="",C17="Деньги"),"",IFERROR(F17/E17-1,0))</f>
        <v/>
      </c>
      <c r="K17" s="11" t="str">
        <f aca="false">IF(B17="","",IF(OR(C17="Акция",C17="Крипта"),IF(H17&gt;0.2,"Больше 20%: многовато",IF(H17&gt;0.1,"Выше 10%: не докупать","В норме")),""))</f>
        <v/>
      </c>
    </row>
    <row r="18" customFormat="false" ht="24" hidden="false" customHeight="true" outlineLevel="0" collapsed="false">
      <c r="B18" s="9"/>
      <c r="C18" s="9"/>
      <c r="D18" s="40"/>
      <c r="E18" s="41"/>
      <c r="F18" s="41"/>
      <c r="G18" s="28" t="str">
        <f aca="false">IF(B18="","",D18*F18)</f>
        <v/>
      </c>
      <c r="H18" s="29" t="str">
        <f aca="false">IF(B18="","",IFERROR(G18/$G$27,0))</f>
        <v/>
      </c>
      <c r="I18" s="28" t="str">
        <f aca="false">IF(OR(B18="",C18="Деньги"),"",D18*(F18-E18))</f>
        <v/>
      </c>
      <c r="J18" s="29" t="str">
        <f aca="false">IF(OR(B18="",C18="Деньги"),"",IFERROR(F18/E18-1,0))</f>
        <v/>
      </c>
      <c r="K18" s="11" t="str">
        <f aca="false">IF(B18="","",IF(OR(C18="Акция",C18="Крипта"),IF(H18&gt;0.2,"Больше 20%: многовато",IF(H18&gt;0.1,"Выше 10%: не докупать","В норме")),""))</f>
        <v/>
      </c>
    </row>
    <row r="19" customFormat="false" ht="24" hidden="false" customHeight="true" outlineLevel="0" collapsed="false">
      <c r="B19" s="9"/>
      <c r="C19" s="9"/>
      <c r="D19" s="40"/>
      <c r="E19" s="41"/>
      <c r="F19" s="41"/>
      <c r="G19" s="28" t="str">
        <f aca="false">IF(B19="","",D19*F19)</f>
        <v/>
      </c>
      <c r="H19" s="29" t="str">
        <f aca="false">IF(B19="","",IFERROR(G19/$G$27,0))</f>
        <v/>
      </c>
      <c r="I19" s="28" t="str">
        <f aca="false">IF(OR(B19="",C19="Деньги"),"",D19*(F19-E19))</f>
        <v/>
      </c>
      <c r="J19" s="29" t="str">
        <f aca="false">IF(OR(B19="",C19="Деньги"),"",IFERROR(F19/E19-1,0))</f>
        <v/>
      </c>
      <c r="K19" s="11" t="str">
        <f aca="false">IF(B19="","",IF(OR(C19="Акция",C19="Крипта"),IF(H19&gt;0.2,"Больше 20%: многовато",IF(H19&gt;0.1,"Выше 10%: не докупать","В норме")),""))</f>
        <v/>
      </c>
    </row>
    <row r="20" customFormat="false" ht="24" hidden="false" customHeight="true" outlineLevel="0" collapsed="false">
      <c r="B20" s="9"/>
      <c r="C20" s="9"/>
      <c r="D20" s="40"/>
      <c r="E20" s="41"/>
      <c r="F20" s="41"/>
      <c r="G20" s="28" t="str">
        <f aca="false">IF(B20="","",D20*F20)</f>
        <v/>
      </c>
      <c r="H20" s="29" t="str">
        <f aca="false">IF(B20="","",IFERROR(G20/$G$27,0))</f>
        <v/>
      </c>
      <c r="I20" s="28" t="str">
        <f aca="false">IF(OR(B20="",C20="Деньги"),"",D20*(F20-E20))</f>
        <v/>
      </c>
      <c r="J20" s="29" t="str">
        <f aca="false">IF(OR(B20="",C20="Деньги"),"",IFERROR(F20/E20-1,0))</f>
        <v/>
      </c>
      <c r="K20" s="11" t="str">
        <f aca="false">IF(B20="","",IF(OR(C20="Акция",C20="Крипта"),IF(H20&gt;0.2,"Больше 20%: многовато",IF(H20&gt;0.1,"Выше 10%: не докупать","В норме")),""))</f>
        <v/>
      </c>
    </row>
    <row r="21" customFormat="false" ht="24" hidden="false" customHeight="true" outlineLevel="0" collapsed="false">
      <c r="B21" s="9"/>
      <c r="C21" s="9"/>
      <c r="D21" s="40"/>
      <c r="E21" s="41"/>
      <c r="F21" s="41"/>
      <c r="G21" s="28" t="str">
        <f aca="false">IF(B21="","",D21*F21)</f>
        <v/>
      </c>
      <c r="H21" s="29" t="str">
        <f aca="false">IF(B21="","",IFERROR(G21/$G$27,0))</f>
        <v/>
      </c>
      <c r="I21" s="28" t="str">
        <f aca="false">IF(OR(B21="",C21="Деньги"),"",D21*(F21-E21))</f>
        <v/>
      </c>
      <c r="J21" s="29" t="str">
        <f aca="false">IF(OR(B21="",C21="Деньги"),"",IFERROR(F21/E21-1,0))</f>
        <v/>
      </c>
      <c r="K21" s="11" t="str">
        <f aca="false">IF(B21="","",IF(OR(C21="Акция",C21="Крипта"),IF(H21&gt;0.2,"Больше 20%: многовато",IF(H21&gt;0.1,"Выше 10%: не докупать","В норме")),""))</f>
        <v/>
      </c>
    </row>
    <row r="22" customFormat="false" ht="24" hidden="false" customHeight="true" outlineLevel="0" collapsed="false">
      <c r="B22" s="9"/>
      <c r="C22" s="9"/>
      <c r="D22" s="40"/>
      <c r="E22" s="41"/>
      <c r="F22" s="41"/>
      <c r="G22" s="28" t="str">
        <f aca="false">IF(B22="","",D22*F22)</f>
        <v/>
      </c>
      <c r="H22" s="29" t="str">
        <f aca="false">IF(B22="","",IFERROR(G22/$G$27,0))</f>
        <v/>
      </c>
      <c r="I22" s="28" t="str">
        <f aca="false">IF(OR(B22="",C22="Деньги"),"",D22*(F22-E22))</f>
        <v/>
      </c>
      <c r="J22" s="29" t="str">
        <f aca="false">IF(OR(B22="",C22="Деньги"),"",IFERROR(F22/E22-1,0))</f>
        <v/>
      </c>
      <c r="K22" s="11" t="str">
        <f aca="false">IF(B22="","",IF(OR(C22="Акция",C22="Крипта"),IF(H22&gt;0.2,"Больше 20%: многовато",IF(H22&gt;0.1,"Выше 10%: не докупать","В норме")),""))</f>
        <v/>
      </c>
    </row>
    <row r="23" customFormat="false" ht="24" hidden="false" customHeight="true" outlineLevel="0" collapsed="false">
      <c r="B23" s="9"/>
      <c r="C23" s="9"/>
      <c r="D23" s="40"/>
      <c r="E23" s="41"/>
      <c r="F23" s="41"/>
      <c r="G23" s="28" t="str">
        <f aca="false">IF(B23="","",D23*F23)</f>
        <v/>
      </c>
      <c r="H23" s="29" t="str">
        <f aca="false">IF(B23="","",IFERROR(G23/$G$27,0))</f>
        <v/>
      </c>
      <c r="I23" s="28" t="str">
        <f aca="false">IF(OR(B23="",C23="Деньги"),"",D23*(F23-E23))</f>
        <v/>
      </c>
      <c r="J23" s="29" t="str">
        <f aca="false">IF(OR(B23="",C23="Деньги"),"",IFERROR(F23/E23-1,0))</f>
        <v/>
      </c>
      <c r="K23" s="11" t="str">
        <f aca="false">IF(B23="","",IF(OR(C23="Акция",C23="Крипта"),IF(H23&gt;0.2,"Больше 20%: многовато",IF(H23&gt;0.1,"Выше 10%: не докупать","В норме")),""))</f>
        <v/>
      </c>
    </row>
    <row r="24" customFormat="false" ht="24" hidden="false" customHeight="true" outlineLevel="0" collapsed="false">
      <c r="B24" s="9"/>
      <c r="C24" s="9"/>
      <c r="D24" s="40"/>
      <c r="E24" s="41"/>
      <c r="F24" s="41"/>
      <c r="G24" s="28" t="str">
        <f aca="false">IF(B24="","",D24*F24)</f>
        <v/>
      </c>
      <c r="H24" s="29" t="str">
        <f aca="false">IF(B24="","",IFERROR(G24/$G$27,0))</f>
        <v/>
      </c>
      <c r="I24" s="28" t="str">
        <f aca="false">IF(OR(B24="",C24="Деньги"),"",D24*(F24-E24))</f>
        <v/>
      </c>
      <c r="J24" s="29" t="str">
        <f aca="false">IF(OR(B24="",C24="Деньги"),"",IFERROR(F24/E24-1,0))</f>
        <v/>
      </c>
      <c r="K24" s="11" t="str">
        <f aca="false">IF(B24="","",IF(OR(C24="Акция",C24="Крипта"),IF(H24&gt;0.2,"Больше 20%: многовато",IF(H24&gt;0.1,"Выше 10%: не докупать","В норме")),""))</f>
        <v/>
      </c>
    </row>
    <row r="25" customFormat="false" ht="24" hidden="false" customHeight="true" outlineLevel="0" collapsed="false">
      <c r="B25" s="9"/>
      <c r="C25" s="9"/>
      <c r="D25" s="40"/>
      <c r="E25" s="41"/>
      <c r="F25" s="41"/>
      <c r="G25" s="28" t="str">
        <f aca="false">IF(B25="","",D25*F25)</f>
        <v/>
      </c>
      <c r="H25" s="29" t="str">
        <f aca="false">IF(B25="","",IFERROR(G25/$G$27,0))</f>
        <v/>
      </c>
      <c r="I25" s="28" t="str">
        <f aca="false">IF(OR(B25="",C25="Деньги"),"",D25*(F25-E25))</f>
        <v/>
      </c>
      <c r="J25" s="29" t="str">
        <f aca="false">IF(OR(B25="",C25="Деньги"),"",IFERROR(F25/E25-1,0))</f>
        <v/>
      </c>
      <c r="K25" s="11" t="str">
        <f aca="false">IF(B25="","",IF(OR(C25="Акция",C25="Крипта"),IF(H25&gt;0.2,"Больше 20%: многовато",IF(H25&gt;0.1,"Выше 10%: не докупать","В норме")),""))</f>
        <v/>
      </c>
    </row>
    <row r="26" customFormat="false" ht="24" hidden="false" customHeight="true" outlineLevel="0" collapsed="false">
      <c r="B26" s="9"/>
      <c r="C26" s="9"/>
      <c r="D26" s="40"/>
      <c r="E26" s="41"/>
      <c r="F26" s="41"/>
      <c r="G26" s="28" t="str">
        <f aca="false">IF(B26="","",D26*F26)</f>
        <v/>
      </c>
      <c r="H26" s="29" t="str">
        <f aca="false">IF(B26="","",IFERROR(G26/$G$27,0))</f>
        <v/>
      </c>
      <c r="I26" s="28" t="str">
        <f aca="false">IF(OR(B26="",C26="Деньги"),"",D26*(F26-E26))</f>
        <v/>
      </c>
      <c r="J26" s="29" t="str">
        <f aca="false">IF(OR(B26="",C26="Деньги"),"",IFERROR(F26/E26-1,0))</f>
        <v/>
      </c>
      <c r="K26" s="11" t="str">
        <f aca="false">IF(B26="","",IF(OR(C26="Акция",C26="Крипта"),IF(H26&gt;0.2,"Больше 20%: многовато",IF(H26&gt;0.1,"Выше 10%: не докупать","В норме")),""))</f>
        <v/>
      </c>
    </row>
    <row r="27" customFormat="false" ht="15" hidden="false" customHeight="false" outlineLevel="0" collapsed="false">
      <c r="B27" s="26" t="s">
        <v>111</v>
      </c>
      <c r="C27" s="42"/>
      <c r="D27" s="42"/>
      <c r="E27" s="42"/>
      <c r="F27" s="42"/>
      <c r="G27" s="27" t="n">
        <f aca="false">SUM(G12:G26)</f>
        <v>225300</v>
      </c>
      <c r="H27" s="42"/>
      <c r="I27" s="27" t="n">
        <f aca="false">SUM(I12:I26)</f>
        <v>13800</v>
      </c>
      <c r="J27" s="30" t="n">
        <f aca="false">IFERROR(I27/SUMPRODUCT((C12:C26&lt;&gt;"Деньги")*D12:D26*E12:E26),0)</f>
        <v>0.0760330578512397</v>
      </c>
      <c r="K27" s="42"/>
    </row>
    <row r="30" customFormat="false" ht="15" hidden="false" customHeight="true" outlineLevel="0" collapsed="false">
      <c r="H30" s="43" t="s">
        <v>112</v>
      </c>
      <c r="I30" s="43"/>
      <c r="J30" s="43"/>
      <c r="K30" s="43"/>
    </row>
    <row r="31" customFormat="false" ht="15" hidden="false" customHeight="false" outlineLevel="0" collapsed="false">
      <c r="H31" s="43"/>
      <c r="I31" s="43"/>
      <c r="J31" s="43"/>
      <c r="K31" s="43"/>
    </row>
    <row r="32" customFormat="false" ht="15" hidden="false" customHeight="false" outlineLevel="0" collapsed="false">
      <c r="H32" s="43"/>
      <c r="I32" s="43"/>
      <c r="J32" s="43"/>
      <c r="K32" s="43"/>
    </row>
    <row r="33" customFormat="false" ht="15" hidden="false" customHeight="false" outlineLevel="0" collapsed="false">
      <c r="H33" s="43"/>
      <c r="I33" s="43"/>
      <c r="J33" s="43"/>
      <c r="K33" s="43"/>
    </row>
    <row r="34" customFormat="false" ht="15" hidden="false" customHeight="false" outlineLevel="0" collapsed="false">
      <c r="H34" s="43"/>
      <c r="I34" s="43"/>
      <c r="J34" s="43"/>
      <c r="K34" s="43"/>
    </row>
    <row r="36" customFormat="false" ht="15" hidden="false" customHeight="true" outlineLevel="0" collapsed="false">
      <c r="H36" s="33" t="s">
        <v>113</v>
      </c>
      <c r="I36" s="33"/>
      <c r="J36" s="33"/>
      <c r="K36" s="33"/>
    </row>
    <row r="37" customFormat="false" ht="15" hidden="false" customHeight="false" outlineLevel="0" collapsed="false">
      <c r="H37" s="33"/>
      <c r="I37" s="33"/>
      <c r="J37" s="33"/>
      <c r="K37" s="33"/>
    </row>
  </sheetData>
  <mergeCells count="10">
    <mergeCell ref="B7:C7"/>
    <mergeCell ref="D7:F7"/>
    <mergeCell ref="G7:H7"/>
    <mergeCell ref="I7:K7"/>
    <mergeCell ref="B8:C8"/>
    <mergeCell ref="D8:F8"/>
    <mergeCell ref="G8:H8"/>
    <mergeCell ref="I8:K8"/>
    <mergeCell ref="H30:K34"/>
    <mergeCell ref="H36:K37"/>
  </mergeCells>
  <conditionalFormatting sqref="H12:H26">
    <cfRule type="expression" priority="2" aboveAverage="0" equalAverage="0" bottom="0" percent="0" rank="0" text="" dxfId="2">
      <formula>AND(OR($C12="Акция",$C12="Крипта"),$H12&gt;0.2)</formula>
    </cfRule>
    <cfRule type="expression" priority="3" aboveAverage="0" equalAverage="0" bottom="0" percent="0" rank="0" text="" dxfId="3">
      <formula>AND(OR($C12="Акция",$C12="Крипта"),$H12&gt;0.1,$H12&lt;=0.2)</formula>
    </cfRule>
  </conditionalFormatting>
  <conditionalFormatting sqref="I12:J27">
    <cfRule type="cellIs" priority="4" operator="lessThan" aboveAverage="0" equalAverage="0" bottom="0" percent="0" rank="0" text="" dxfId="4">
      <formula>0</formula>
    </cfRule>
    <cfRule type="cellIs" priority="5" operator="greaterThan" aboveAverage="0" equalAverage="0" bottom="0" percent="0" rank="0" text="" dxfId="1">
      <formula>0</formula>
    </cfRule>
  </conditionalFormatting>
  <conditionalFormatting sqref="K12:K26">
    <cfRule type="expression" priority="6" aboveAverage="0" equalAverage="0" bottom="0" percent="0" rank="0" text="" dxfId="0">
      <formula>LEFT(K12,6)="Больше"</formula>
    </cfRule>
    <cfRule type="expression" priority="7" aboveAverage="0" equalAverage="0" bottom="0" percent="0" rank="0" text="" dxfId="5">
      <formula>LEFT(K12,5)="Выше "</formula>
    </cfRule>
    <cfRule type="expression" priority="8" aboveAverage="0" equalAverage="0" bottom="0" percent="0" rank="0" text="" dxfId="6">
      <formula>K12="В норме"</formula>
    </cfRule>
  </conditionalFormatting>
  <dataValidations count="1">
    <dataValidation allowBlank="true" errorStyle="stop" operator="between" showDropDown="false" showErrorMessage="false" showInputMessage="false" sqref="C12:C26" type="list">
      <formula1>"Акция,Облигация,Фонд,Крипта,Деньги"</formula1>
      <formula2>0</formula2>
    </dataValidation>
  </dataValidations>
  <hyperlinks>
    <hyperlink ref="B5" r:id="rId1" location="'Старт'!A1" display="← 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D2D"/>
    <pageSetUpPr fitToPage="tru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40"/>
    <col collapsed="false" customWidth="true" hidden="false" outlineLevel="0" max="6" min="3" style="0" width="16"/>
    <col collapsed="false" customWidth="true" hidden="false" outlineLevel="0" max="7" min="7" style="0" width="4"/>
    <col collapsed="false" customWidth="true" hidden="false" outlineLevel="0" max="8" min="8" style="0" width="44"/>
    <col collapsed="false" customWidth="true" hidden="false" outlineLevel="0" max="9" min="9" style="0" width="4"/>
  </cols>
  <sheetData>
    <row r="1" customFormat="false" ht="13.5" hidden="false" customHeight="true" outlineLevel="0" collapsed="false">
      <c r="A1" s="1"/>
    </row>
    <row r="2" customFormat="false" ht="39.75" hidden="false" customHeight="true" outlineLevel="0" collapsed="false">
      <c r="A2" s="1"/>
      <c r="B2" s="2" t="s">
        <v>6</v>
      </c>
    </row>
    <row r="3" customFormat="false" ht="19.5" hidden="false" customHeight="true" outlineLevel="0" collapsed="false">
      <c r="A3" s="1"/>
      <c r="B3" s="3" t="s">
        <v>114</v>
      </c>
    </row>
    <row r="4" customFormat="false" ht="12" hidden="false" customHeight="true" outlineLevel="0" collapsed="false"/>
    <row r="5" customFormat="false" ht="25.5" hidden="false" customHeight="true" outlineLevel="0" collapsed="false">
      <c r="B5" s="14" t="s">
        <v>28</v>
      </c>
    </row>
    <row r="6" customFormat="false" ht="15.75" hidden="false" customHeight="true" outlineLevel="0" collapsed="false"/>
    <row r="7" customFormat="false" ht="24" hidden="false" customHeight="true" outlineLevel="0" collapsed="false">
      <c r="B7" s="15" t="s">
        <v>115</v>
      </c>
      <c r="C7" s="17" t="s">
        <v>116</v>
      </c>
      <c r="D7" s="17"/>
      <c r="E7" s="16" t="s">
        <v>117</v>
      </c>
      <c r="F7" s="16"/>
    </row>
    <row r="8" customFormat="false" ht="37.5" hidden="false" customHeight="true" outlineLevel="0" collapsed="false">
      <c r="B8" s="44" t="n">
        <f aca="false">C25</f>
        <v>282</v>
      </c>
      <c r="C8" s="45" t="n">
        <f aca="false">C42</f>
        <v>500</v>
      </c>
      <c r="D8" s="45"/>
      <c r="E8" s="19" t="n">
        <f aca="false">C39</f>
        <v>6000</v>
      </c>
      <c r="F8" s="19"/>
    </row>
    <row r="10" customFormat="false" ht="24" hidden="false" customHeight="true" outlineLevel="0" collapsed="false">
      <c r="B10" s="6" t="s">
        <v>118</v>
      </c>
    </row>
    <row r="11" customFormat="false" ht="25.5" hidden="false" customHeight="true" outlineLevel="0" collapsed="false">
      <c r="B11" s="11" t="s">
        <v>119</v>
      </c>
      <c r="C11" s="25" t="n">
        <f aca="false">Портфель!G27</f>
        <v>225300</v>
      </c>
      <c r="H11" s="46" t="s">
        <v>120</v>
      </c>
    </row>
    <row r="12" customFormat="false" ht="25.5" hidden="false" customHeight="true" outlineLevel="0" collapsed="false">
      <c r="B12" s="11" t="s">
        <v>121</v>
      </c>
      <c r="C12" s="22" t="n">
        <v>0.1</v>
      </c>
      <c r="H12" s="46" t="s">
        <v>122</v>
      </c>
    </row>
    <row r="13" customFormat="false" ht="25.5" hidden="false" customHeight="true" outlineLevel="0" collapsed="false">
      <c r="B13" s="11" t="s">
        <v>123</v>
      </c>
      <c r="C13" s="28" t="n">
        <f aca="false">C11*C12</f>
        <v>22530</v>
      </c>
    </row>
    <row r="14" customFormat="false" ht="25.5" hidden="false" customHeight="true" outlineLevel="0" collapsed="false">
      <c r="B14" s="11" t="s">
        <v>124</v>
      </c>
      <c r="C14" s="41" t="n">
        <v>300</v>
      </c>
    </row>
    <row r="15" customFormat="false" ht="25.5" hidden="false" customHeight="true" outlineLevel="0" collapsed="false">
      <c r="B15" s="11" t="s">
        <v>125</v>
      </c>
      <c r="C15" s="22" t="n">
        <v>0.06</v>
      </c>
      <c r="H15" s="46" t="s">
        <v>126</v>
      </c>
    </row>
    <row r="16" customFormat="false" ht="25.5" hidden="false" customHeight="true" outlineLevel="0" collapsed="false">
      <c r="B16" s="11" t="s">
        <v>127</v>
      </c>
      <c r="C16" s="40" t="n">
        <v>10</v>
      </c>
      <c r="H16" s="46" t="s">
        <v>128</v>
      </c>
    </row>
    <row r="17" customFormat="false" ht="25.5" hidden="false" customHeight="true" outlineLevel="0" collapsed="false">
      <c r="B17" s="11" t="s">
        <v>129</v>
      </c>
      <c r="C17" s="47" t="n">
        <v>3</v>
      </c>
    </row>
    <row r="19" customFormat="false" ht="30" hidden="false" customHeight="true" outlineLevel="0" collapsed="false">
      <c r="B19" s="23" t="s">
        <v>130</v>
      </c>
      <c r="C19" s="24" t="s">
        <v>131</v>
      </c>
      <c r="D19" s="24" t="s">
        <v>132</v>
      </c>
      <c r="E19" s="24" t="s">
        <v>133</v>
      </c>
      <c r="F19" s="24" t="s">
        <v>134</v>
      </c>
    </row>
    <row r="20" customFormat="false" ht="25.5" hidden="false" customHeight="true" outlineLevel="0" collapsed="false">
      <c r="B20" s="11" t="s">
        <v>135</v>
      </c>
      <c r="C20" s="48" t="n">
        <f aca="false">$C$14*(1-$C$15*0)</f>
        <v>300</v>
      </c>
      <c r="D20" s="28" t="n">
        <f aca="false">$C$13/$C$17</f>
        <v>7510</v>
      </c>
      <c r="E20" s="49" t="n">
        <f aca="false">IFERROR(FLOOR(D20/C20/$C$16,1)*$C$16,0)</f>
        <v>20</v>
      </c>
      <c r="F20" s="28" t="n">
        <f aca="false">E20*C20</f>
        <v>6000</v>
      </c>
    </row>
    <row r="21" customFormat="false" ht="25.5" hidden="false" customHeight="true" outlineLevel="0" collapsed="false">
      <c r="B21" s="11" t="s">
        <v>136</v>
      </c>
      <c r="C21" s="48" t="n">
        <f aca="false">$C$14*(1-$C$15*1)</f>
        <v>282</v>
      </c>
      <c r="D21" s="28" t="n">
        <f aca="false">$C$13/$C$17</f>
        <v>7510</v>
      </c>
      <c r="E21" s="49" t="n">
        <f aca="false">IFERROR(FLOOR(D21/C21/$C$16,1)*$C$16,0)</f>
        <v>20</v>
      </c>
      <c r="F21" s="28" t="n">
        <f aca="false">E21*C21</f>
        <v>5640</v>
      </c>
    </row>
    <row r="22" customFormat="false" ht="25.5" hidden="false" customHeight="true" outlineLevel="0" collapsed="false">
      <c r="B22" s="11" t="s">
        <v>137</v>
      </c>
      <c r="C22" s="48" t="n">
        <f aca="false">$C$14*(1-$C$15*2)</f>
        <v>264</v>
      </c>
      <c r="D22" s="28" t="n">
        <f aca="false">$C$13/$C$17</f>
        <v>7510</v>
      </c>
      <c r="E22" s="49" t="n">
        <f aca="false">IFERROR(FLOOR(D22/C22/$C$16,1)*$C$16,0)</f>
        <v>20</v>
      </c>
      <c r="F22" s="28" t="n">
        <f aca="false">E22*C22</f>
        <v>5280</v>
      </c>
    </row>
    <row r="23" customFormat="false" ht="15" hidden="false" customHeight="false" outlineLevel="0" collapsed="false">
      <c r="B23" s="26" t="s">
        <v>111</v>
      </c>
      <c r="C23" s="42"/>
      <c r="D23" s="42"/>
      <c r="E23" s="50" t="n">
        <f aca="false">SUM(E20:E22)</f>
        <v>60</v>
      </c>
      <c r="F23" s="27" t="n">
        <f aca="false">SUM(F20:F22)</f>
        <v>16920</v>
      </c>
    </row>
    <row r="25" customFormat="false" ht="25.5" hidden="false" customHeight="true" outlineLevel="0" collapsed="false">
      <c r="B25" s="26" t="s">
        <v>138</v>
      </c>
      <c r="C25" s="51" t="n">
        <f aca="false">IFERROR(F23/E23,0)</f>
        <v>282</v>
      </c>
    </row>
    <row r="26" customFormat="false" ht="25.5" hidden="false" customHeight="true" outlineLevel="0" collapsed="false">
      <c r="B26" s="26" t="s">
        <v>139</v>
      </c>
      <c r="C26" s="52" t="n">
        <f aca="false">IFERROR(1-C25/C14,0)</f>
        <v>0.0600000000000001</v>
      </c>
    </row>
    <row r="29" customFormat="false" ht="24" hidden="false" customHeight="true" outlineLevel="0" collapsed="false">
      <c r="B29" s="6" t="s">
        <v>140</v>
      </c>
    </row>
    <row r="30" customFormat="false" ht="15" hidden="false" customHeight="false" outlineLevel="0" collapsed="false">
      <c r="B30" s="11" t="s">
        <v>141</v>
      </c>
      <c r="C30" s="9" t="s">
        <v>142</v>
      </c>
    </row>
    <row r="31" customFormat="false" ht="25.5" hidden="false" customHeight="true" outlineLevel="0" collapsed="false">
      <c r="B31" s="11" t="s">
        <v>143</v>
      </c>
      <c r="C31" s="25" t="n">
        <v>300000</v>
      </c>
    </row>
    <row r="32" customFormat="false" ht="25.5" hidden="false" customHeight="true" outlineLevel="0" collapsed="false">
      <c r="B32" s="11" t="s">
        <v>144</v>
      </c>
      <c r="C32" s="53" t="n">
        <v>0.02</v>
      </c>
      <c r="H32" s="46" t="s">
        <v>145</v>
      </c>
    </row>
    <row r="33" customFormat="false" ht="25.5" hidden="false" customHeight="true" outlineLevel="0" collapsed="false">
      <c r="B33" s="11" t="s">
        <v>146</v>
      </c>
      <c r="C33" s="41" t="n">
        <v>300</v>
      </c>
    </row>
    <row r="34" customFormat="false" ht="25.5" hidden="false" customHeight="true" outlineLevel="0" collapsed="false">
      <c r="B34" s="11" t="s">
        <v>147</v>
      </c>
      <c r="C34" s="41" t="n">
        <v>288</v>
      </c>
      <c r="H34" s="46" t="s">
        <v>148</v>
      </c>
    </row>
    <row r="35" customFormat="false" ht="25.5" hidden="false" customHeight="true" outlineLevel="0" collapsed="false">
      <c r="B35" s="11" t="s">
        <v>127</v>
      </c>
      <c r="C35" s="40" t="n">
        <v>10</v>
      </c>
    </row>
    <row r="36" customFormat="false" ht="25.5" hidden="false" customHeight="true" outlineLevel="0" collapsed="false">
      <c r="B36" s="11" t="s">
        <v>149</v>
      </c>
      <c r="C36" s="54" t="n">
        <v>2</v>
      </c>
      <c r="H36" s="46" t="s">
        <v>150</v>
      </c>
    </row>
    <row r="38" customFormat="false" ht="24" hidden="false" customHeight="true" outlineLevel="0" collapsed="false">
      <c r="B38" s="6" t="s">
        <v>89</v>
      </c>
    </row>
    <row r="39" customFormat="false" ht="25.5" hidden="false" customHeight="true" outlineLevel="0" collapsed="false">
      <c r="B39" s="11" t="s">
        <v>151</v>
      </c>
      <c r="C39" s="28" t="n">
        <f aca="false">C31*C32</f>
        <v>6000</v>
      </c>
    </row>
    <row r="40" customFormat="false" ht="25.5" hidden="false" customHeight="true" outlineLevel="0" collapsed="false">
      <c r="B40" s="11" t="s">
        <v>152</v>
      </c>
      <c r="C40" s="48" t="n">
        <f aca="false">ABS(C33-C34)</f>
        <v>12</v>
      </c>
    </row>
    <row r="41" customFormat="false" ht="25.5" hidden="false" customHeight="true" outlineLevel="0" collapsed="false">
      <c r="B41" s="11" t="s">
        <v>153</v>
      </c>
      <c r="C41" s="29" t="n">
        <f aca="false">IFERROR(C40/C33,0)</f>
        <v>0.04</v>
      </c>
    </row>
    <row r="42" customFormat="false" ht="25.5" hidden="false" customHeight="true" outlineLevel="0" collapsed="false">
      <c r="B42" s="26" t="s">
        <v>154</v>
      </c>
      <c r="C42" s="55" t="n">
        <f aca="false">IFERROR(FLOOR(C39/C40/C35,1)*C35,0)</f>
        <v>500</v>
      </c>
    </row>
    <row r="43" customFormat="false" ht="25.5" hidden="false" customHeight="true" outlineLevel="0" collapsed="false">
      <c r="B43" s="11" t="s">
        <v>155</v>
      </c>
      <c r="C43" s="28" t="n">
        <f aca="false">C42*C33</f>
        <v>150000</v>
      </c>
    </row>
    <row r="44" customFormat="false" ht="25.5" hidden="false" customHeight="true" outlineLevel="0" collapsed="false">
      <c r="B44" s="11" t="s">
        <v>156</v>
      </c>
      <c r="C44" s="56" t="n">
        <f aca="false">IFERROR(C43/C31,0)</f>
        <v>0.5</v>
      </c>
      <c r="H44" s="46" t="s">
        <v>157</v>
      </c>
    </row>
    <row r="45" customFormat="false" ht="25.5" hidden="false" customHeight="true" outlineLevel="0" collapsed="false">
      <c r="B45" s="11" t="s">
        <v>158</v>
      </c>
      <c r="C45" s="48" t="n">
        <f aca="false">IF(C30="Шорт",C33-C40*C36,C33+C40*C36)</f>
        <v>324</v>
      </c>
    </row>
    <row r="46" customFormat="false" ht="25.5" hidden="false" customHeight="true" outlineLevel="0" collapsed="false">
      <c r="B46" s="26" t="s">
        <v>159</v>
      </c>
      <c r="C46" s="26" t="str">
        <f aca="false">IF(C32&gt;0.04,"Риск выше 4%: слишком много",IF(C32&gt;0.03,"Риск 3–4%: на пределе","Риск в норме"))</f>
        <v>Риск в норме</v>
      </c>
      <c r="D46" s="26"/>
      <c r="E46" s="26"/>
      <c r="F46" s="26"/>
    </row>
  </sheetData>
  <mergeCells count="5">
    <mergeCell ref="C7:D7"/>
    <mergeCell ref="E7:F7"/>
    <mergeCell ref="C8:D8"/>
    <mergeCell ref="E8:F8"/>
    <mergeCell ref="C46:F46"/>
  </mergeCells>
  <conditionalFormatting sqref="C46">
    <cfRule type="expression" priority="2" aboveAverage="0" equalAverage="0" bottom="0" percent="0" rank="0" text="" dxfId="0">
      <formula>LEFT(C46,10)="Риск выше "</formula>
    </cfRule>
    <cfRule type="expression" priority="3" aboveAverage="0" equalAverage="0" bottom="0" percent="0" rank="0" text="" dxfId="5">
      <formula>LEFT(C46,8)="Риск 3–4"</formula>
    </cfRule>
    <cfRule type="expression" priority="4" aboveAverage="0" equalAverage="0" bottom="0" percent="0" rank="0" text="" dxfId="6">
      <formula>C46="Риск в норме"</formula>
    </cfRule>
  </conditionalFormatting>
  <dataValidations count="1">
    <dataValidation allowBlank="false" errorStyle="stop" operator="between" showDropDown="false" showErrorMessage="false" showInputMessage="false" sqref="C30" type="list">
      <formula1>"Лонг,Шорт"</formula1>
      <formula2>0</formula2>
    </dataValidation>
  </dataValidations>
  <hyperlinks>
    <hyperlink ref="B5" r:id="rId1" location="'Старт'!A1" display="← 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D2D"/>
    <pageSetUpPr fitToPage="tru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8"/>
    <col collapsed="false" customWidth="true" hidden="false" outlineLevel="0" max="8" min="3" style="0" width="18"/>
    <col collapsed="false" customWidth="true" hidden="false" outlineLevel="0" max="9" min="9" style="0" width="4"/>
  </cols>
  <sheetData>
    <row r="1" customFormat="false" ht="13.5" hidden="false" customHeight="true" outlineLevel="0" collapsed="false">
      <c r="A1" s="1"/>
    </row>
    <row r="2" customFormat="false" ht="39.75" hidden="false" customHeight="true" outlineLevel="0" collapsed="false">
      <c r="A2" s="1"/>
      <c r="B2" s="2" t="s">
        <v>160</v>
      </c>
    </row>
    <row r="3" customFormat="false" ht="19.5" hidden="false" customHeight="true" outlineLevel="0" collapsed="false">
      <c r="A3" s="1"/>
      <c r="B3" s="3" t="s">
        <v>161</v>
      </c>
    </row>
    <row r="4" customFormat="false" ht="12" hidden="false" customHeight="true" outlineLevel="0" collapsed="false"/>
    <row r="5" customFormat="false" ht="25.5" hidden="false" customHeight="true" outlineLevel="0" collapsed="false">
      <c r="B5" s="14" t="s">
        <v>28</v>
      </c>
    </row>
    <row r="6" customFormat="false" ht="15.75" hidden="false" customHeight="true" outlineLevel="0" collapsed="false"/>
    <row r="8" customFormat="false" ht="25.5" hidden="false" customHeight="true" outlineLevel="0" collapsed="false">
      <c r="B8" s="57" t="s">
        <v>162</v>
      </c>
      <c r="C8" s="58" t="s">
        <v>163</v>
      </c>
      <c r="D8" s="58"/>
      <c r="E8" s="58"/>
      <c r="F8" s="58"/>
      <c r="G8" s="58"/>
      <c r="H8" s="58"/>
    </row>
    <row r="9" customFormat="false" ht="30" hidden="false" customHeight="true" outlineLevel="0" collapsed="false">
      <c r="B9" s="57"/>
      <c r="C9" s="59" t="s">
        <v>164</v>
      </c>
      <c r="D9" s="59"/>
      <c r="E9" s="59"/>
      <c r="F9" s="59"/>
      <c r="G9" s="59"/>
      <c r="H9" s="59"/>
    </row>
    <row r="10" customFormat="false" ht="25.5" hidden="false" customHeight="true" outlineLevel="0" collapsed="false">
      <c r="B10" s="57" t="s">
        <v>165</v>
      </c>
      <c r="C10" s="58" t="s">
        <v>166</v>
      </c>
      <c r="D10" s="58"/>
      <c r="E10" s="58"/>
      <c r="F10" s="58"/>
      <c r="G10" s="58"/>
      <c r="H10" s="58"/>
    </row>
    <row r="11" customFormat="false" ht="30" hidden="false" customHeight="true" outlineLevel="0" collapsed="false">
      <c r="B11" s="57"/>
      <c r="C11" s="59" t="s">
        <v>167</v>
      </c>
      <c r="D11" s="59"/>
      <c r="E11" s="59"/>
      <c r="F11" s="59"/>
      <c r="G11" s="59"/>
      <c r="H11" s="59"/>
    </row>
    <row r="12" customFormat="false" ht="25.5" hidden="false" customHeight="true" outlineLevel="0" collapsed="false">
      <c r="B12" s="57" t="s">
        <v>168</v>
      </c>
      <c r="C12" s="58" t="s">
        <v>169</v>
      </c>
      <c r="D12" s="58"/>
      <c r="E12" s="58"/>
      <c r="F12" s="58"/>
      <c r="G12" s="58"/>
      <c r="H12" s="58"/>
    </row>
    <row r="13" customFormat="false" ht="30" hidden="false" customHeight="true" outlineLevel="0" collapsed="false">
      <c r="B13" s="57"/>
      <c r="C13" s="59" t="s">
        <v>170</v>
      </c>
      <c r="D13" s="59"/>
      <c r="E13" s="59"/>
      <c r="F13" s="59"/>
      <c r="G13" s="59"/>
      <c r="H13" s="59"/>
    </row>
    <row r="14" customFormat="false" ht="25.5" hidden="false" customHeight="true" outlineLevel="0" collapsed="false">
      <c r="B14" s="57" t="s">
        <v>171</v>
      </c>
      <c r="C14" s="58" t="s">
        <v>172</v>
      </c>
      <c r="D14" s="58"/>
      <c r="E14" s="58"/>
      <c r="F14" s="58"/>
      <c r="G14" s="58"/>
      <c r="H14" s="58"/>
    </row>
    <row r="15" customFormat="false" ht="30" hidden="false" customHeight="true" outlineLevel="0" collapsed="false">
      <c r="B15" s="57"/>
      <c r="C15" s="59" t="s">
        <v>173</v>
      </c>
      <c r="D15" s="59"/>
      <c r="E15" s="59"/>
      <c r="F15" s="59"/>
      <c r="G15" s="59"/>
      <c r="H15" s="59"/>
    </row>
    <row r="16" customFormat="false" ht="25.5" hidden="false" customHeight="true" outlineLevel="0" collapsed="false">
      <c r="B16" s="57" t="s">
        <v>174</v>
      </c>
      <c r="C16" s="58" t="s">
        <v>175</v>
      </c>
      <c r="D16" s="58"/>
      <c r="E16" s="58"/>
      <c r="F16" s="58"/>
      <c r="G16" s="58"/>
      <c r="H16" s="58"/>
    </row>
    <row r="17" customFormat="false" ht="30" hidden="false" customHeight="true" outlineLevel="0" collapsed="false">
      <c r="B17" s="57"/>
      <c r="C17" s="59" t="s">
        <v>176</v>
      </c>
      <c r="D17" s="59"/>
      <c r="E17" s="59"/>
      <c r="F17" s="59"/>
      <c r="G17" s="59"/>
      <c r="H17" s="59"/>
    </row>
    <row r="18" customFormat="false" ht="25.5" hidden="false" customHeight="true" outlineLevel="0" collapsed="false">
      <c r="B18" s="57" t="s">
        <v>177</v>
      </c>
      <c r="C18" s="58" t="s">
        <v>178</v>
      </c>
      <c r="D18" s="58"/>
      <c r="E18" s="58"/>
      <c r="F18" s="58"/>
      <c r="G18" s="58"/>
      <c r="H18" s="58"/>
    </row>
    <row r="19" customFormat="false" ht="30" hidden="false" customHeight="true" outlineLevel="0" collapsed="false">
      <c r="B19" s="57"/>
      <c r="C19" s="59" t="s">
        <v>179</v>
      </c>
      <c r="D19" s="59"/>
      <c r="E19" s="59"/>
      <c r="F19" s="59"/>
      <c r="G19" s="59"/>
      <c r="H19" s="59"/>
    </row>
    <row r="20" customFormat="false" ht="25.5" hidden="false" customHeight="true" outlineLevel="0" collapsed="false">
      <c r="B20" s="57" t="s">
        <v>180</v>
      </c>
      <c r="C20" s="58" t="s">
        <v>181</v>
      </c>
      <c r="D20" s="58"/>
      <c r="E20" s="58"/>
      <c r="F20" s="58"/>
      <c r="G20" s="58"/>
      <c r="H20" s="58"/>
    </row>
    <row r="21" customFormat="false" ht="30" hidden="false" customHeight="true" outlineLevel="0" collapsed="false">
      <c r="B21" s="57"/>
      <c r="C21" s="59" t="s">
        <v>182</v>
      </c>
      <c r="D21" s="59"/>
      <c r="E21" s="59"/>
      <c r="F21" s="59"/>
      <c r="G21" s="59"/>
      <c r="H21" s="59"/>
    </row>
    <row r="22" customFormat="false" ht="25.5" hidden="false" customHeight="true" outlineLevel="0" collapsed="false">
      <c r="B22" s="57" t="s">
        <v>183</v>
      </c>
      <c r="C22" s="58" t="s">
        <v>184</v>
      </c>
      <c r="D22" s="58"/>
      <c r="E22" s="58"/>
      <c r="F22" s="58"/>
      <c r="G22" s="58"/>
      <c r="H22" s="58"/>
    </row>
    <row r="23" customFormat="false" ht="30" hidden="false" customHeight="true" outlineLevel="0" collapsed="false">
      <c r="B23" s="57"/>
      <c r="C23" s="59" t="s">
        <v>185</v>
      </c>
      <c r="D23" s="59"/>
      <c r="E23" s="59"/>
      <c r="F23" s="59"/>
      <c r="G23" s="59"/>
      <c r="H23" s="59"/>
    </row>
    <row r="24" customFormat="false" ht="25.5" hidden="false" customHeight="true" outlineLevel="0" collapsed="false">
      <c r="B24" s="57" t="s">
        <v>186</v>
      </c>
      <c r="C24" s="58" t="s">
        <v>187</v>
      </c>
      <c r="D24" s="58"/>
      <c r="E24" s="58"/>
      <c r="F24" s="58"/>
      <c r="G24" s="58"/>
      <c r="H24" s="58"/>
    </row>
    <row r="25" customFormat="false" ht="30" hidden="false" customHeight="true" outlineLevel="0" collapsed="false">
      <c r="B25" s="57"/>
      <c r="C25" s="59" t="s">
        <v>188</v>
      </c>
      <c r="D25" s="59"/>
      <c r="E25" s="59"/>
      <c r="F25" s="59"/>
      <c r="G25" s="59"/>
      <c r="H25" s="59"/>
    </row>
    <row r="26" customFormat="false" ht="25.5" hidden="false" customHeight="true" outlineLevel="0" collapsed="false">
      <c r="B26" s="57" t="s">
        <v>189</v>
      </c>
      <c r="C26" s="58" t="s">
        <v>190</v>
      </c>
      <c r="D26" s="58"/>
      <c r="E26" s="58"/>
      <c r="F26" s="58"/>
      <c r="G26" s="58"/>
      <c r="H26" s="58"/>
    </row>
    <row r="27" customFormat="false" ht="30" hidden="false" customHeight="true" outlineLevel="0" collapsed="false">
      <c r="B27" s="57"/>
      <c r="C27" s="59" t="s">
        <v>191</v>
      </c>
      <c r="D27" s="59"/>
      <c r="E27" s="59"/>
      <c r="F27" s="59"/>
      <c r="G27" s="59"/>
      <c r="H27" s="59"/>
    </row>
    <row r="28" customFormat="false" ht="25.5" hidden="false" customHeight="true" outlineLevel="0" collapsed="false">
      <c r="B28" s="57" t="s">
        <v>192</v>
      </c>
      <c r="C28" s="58" t="s">
        <v>193</v>
      </c>
      <c r="D28" s="58"/>
      <c r="E28" s="58"/>
      <c r="F28" s="58"/>
      <c r="G28" s="58"/>
      <c r="H28" s="58"/>
    </row>
    <row r="29" customFormat="false" ht="30" hidden="false" customHeight="true" outlineLevel="0" collapsed="false">
      <c r="B29" s="57"/>
      <c r="C29" s="59" t="s">
        <v>194</v>
      </c>
      <c r="D29" s="59"/>
      <c r="E29" s="59"/>
      <c r="F29" s="59"/>
      <c r="G29" s="59"/>
      <c r="H29" s="59"/>
    </row>
    <row r="30" customFormat="false" ht="25.5" hidden="false" customHeight="true" outlineLevel="0" collapsed="false">
      <c r="B30" s="57" t="s">
        <v>195</v>
      </c>
      <c r="C30" s="58" t="s">
        <v>196</v>
      </c>
      <c r="D30" s="58"/>
      <c r="E30" s="58"/>
      <c r="F30" s="58"/>
      <c r="G30" s="58"/>
      <c r="H30" s="58"/>
    </row>
    <row r="31" customFormat="false" ht="30" hidden="false" customHeight="true" outlineLevel="0" collapsed="false">
      <c r="B31" s="57"/>
      <c r="C31" s="59" t="s">
        <v>197</v>
      </c>
      <c r="D31" s="59"/>
      <c r="E31" s="59"/>
      <c r="F31" s="59"/>
      <c r="G31" s="59"/>
      <c r="H31" s="59"/>
    </row>
    <row r="32" customFormat="false" ht="6" hidden="false" customHeight="true" outlineLevel="0" collapsed="false"/>
    <row r="33" customFormat="false" ht="18" hidden="false" customHeight="true" outlineLevel="0" collapsed="false">
      <c r="B33" s="33" t="s">
        <v>198</v>
      </c>
      <c r="C33" s="33"/>
      <c r="D33" s="33"/>
      <c r="E33" s="33"/>
      <c r="F33" s="33"/>
      <c r="G33" s="33"/>
      <c r="H33" s="33"/>
    </row>
    <row r="34" customFormat="false" ht="15" hidden="false" customHeight="false" outlineLevel="0" collapsed="false">
      <c r="B34" s="33"/>
      <c r="C34" s="33"/>
      <c r="D34" s="33"/>
      <c r="E34" s="33"/>
      <c r="F34" s="33"/>
      <c r="G34" s="33"/>
      <c r="H34" s="33"/>
    </row>
  </sheetData>
  <mergeCells count="37">
    <mergeCell ref="B8:B9"/>
    <mergeCell ref="C8:H8"/>
    <mergeCell ref="C9:H9"/>
    <mergeCell ref="B10:B11"/>
    <mergeCell ref="C10:H10"/>
    <mergeCell ref="C11:H11"/>
    <mergeCell ref="B12:B13"/>
    <mergeCell ref="C12:H12"/>
    <mergeCell ref="C13:H13"/>
    <mergeCell ref="B14:B15"/>
    <mergeCell ref="C14:H14"/>
    <mergeCell ref="C15:H15"/>
    <mergeCell ref="B16:B17"/>
    <mergeCell ref="C16:H16"/>
    <mergeCell ref="C17:H17"/>
    <mergeCell ref="B18:B19"/>
    <mergeCell ref="C18:H18"/>
    <mergeCell ref="C19:H19"/>
    <mergeCell ref="B20:B21"/>
    <mergeCell ref="C20:H20"/>
    <mergeCell ref="C21:H21"/>
    <mergeCell ref="B22:B23"/>
    <mergeCell ref="C22:H22"/>
    <mergeCell ref="C23:H23"/>
    <mergeCell ref="B24:B25"/>
    <mergeCell ref="C24:H24"/>
    <mergeCell ref="C25:H25"/>
    <mergeCell ref="B26:B27"/>
    <mergeCell ref="C26:H26"/>
    <mergeCell ref="C27:H27"/>
    <mergeCell ref="B28:B29"/>
    <mergeCell ref="C28:H28"/>
    <mergeCell ref="C29:H29"/>
    <mergeCell ref="B30:B31"/>
    <mergeCell ref="C30:H30"/>
    <mergeCell ref="C31:H31"/>
    <mergeCell ref="B33:H34"/>
  </mergeCells>
  <hyperlinks>
    <hyperlink ref="B5" r:id="rId1" location="'Старт'!A1" display="← 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2026-10-15T18:08:09Z</dcterms:created>
  <dc:creator>openpyxl</dc:creator>
  <dc:description/>
  <dc:language>en-US</dc:language>
  <cp:lastModifiedBy/>
  <dcterms:modified xsi:type="dcterms:W3CDTF">2026-10-15T21:08:10Z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